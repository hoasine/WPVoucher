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hidePivotFieldList="1"/>
  <mc:AlternateContent xmlns:mc="http://schemas.openxmlformats.org/markup-compatibility/2006">
    <mc:Choice Requires="x15">
      <x15ac:absPath xmlns:x15ac="http://schemas.microsoft.com/office/spreadsheetml/2010/11/ac" url="C:\Users\Rom IT\Downloads\"/>
    </mc:Choice>
  </mc:AlternateContent>
  <xr:revisionPtr revIDLastSave="0" documentId="13_ncr:1_{0404C4A9-7B2E-4E64-B460-1906F983CB2C}" xr6:coauthVersionLast="47" xr6:coauthVersionMax="47" xr10:uidLastSave="{00000000-0000-0000-0000-000000000000}"/>
  <x:bookViews>
    <x:workbookView xWindow="-120" yWindow="-120" windowWidth="29040" windowHeight="15840" xr2:uid="{779816C3-C259-413B-A35C-B5AC3B95954E}"/>
  </x:bookViews>
  <x:sheets>
    <x:sheet name="Voucher Report" sheetId="8" r:id="rId1"/>
    <x:sheet name="Data" sheetId="4" r:id="rId2"/>
    <x:sheet name="Aggregated Metadata" sheetId="6" state="hidden" r:id="rId3"/>
    <x:sheet name="TranslationData" sheetId="7" state="hidden" r:id="rId4"/>
    <x:sheet name="CaptionData" sheetId="9" r:id="rId5"/>
  </x:sheets>
  <x:calcPr calcId="191029" forceFullCalc="1"/>
  <x:pivotCaches>
    <x:pivotCache cacheId="27" r:id="rId6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B200" i="8" l="1"/>
  <c r="B201" i="8"/>
  <c r="A201" i="8"/>
  <c r="A200" i="8"/>
  <c r="A2" i="8"/>
  <c r="A1" i="8"/>
</calcChain>
</file>

<file path=xl/sharedStrings.xml><?xml version="1.0" encoding="utf-8"?>
<sst xmlns="http://schemas.openxmlformats.org/spreadsheetml/2006/main" count="591" uniqueCount="79">
  <si>
    <t>Qty</t>
  </si>
  <si>
    <t>DateActived</t>
  </si>
  <si>
    <t>Denomination</t>
  </si>
  <si>
    <t>DatePrint</t>
  </si>
  <si>
    <t>CampaignName</t>
  </si>
  <si>
    <t>ReportDate</t>
  </si>
  <si>
    <t>Variance</t>
  </si>
  <si>
    <t>HCM</t>
  </si>
  <si>
    <t>HN</t>
  </si>
  <si>
    <t>All</t>
  </si>
  <si>
    <t>Total</t>
  </si>
  <si>
    <t/>
  </si>
  <si>
    <t>Value</t>
  </si>
  <si>
    <t>Report Property</t>
  </si>
  <si>
    <t>Report Property Value</t>
  </si>
  <si>
    <t>Request Property</t>
  </si>
  <si>
    <t>Request Property Value</t>
  </si>
  <si>
    <t>Request Page Option</t>
  </si>
  <si>
    <t>Request Page Option Value</t>
  </si>
  <si>
    <t>Filter</t>
  </si>
  <si>
    <t>Filter Value</t>
  </si>
  <si>
    <t>Extension ID</t>
  </si>
  <si>
    <t>90cc9ca9-3774-463e-b3e1-9fa7eda7edc3</t>
  </si>
  <si>
    <t>Tenant Id</t>
  </si>
  <si>
    <t>default</t>
  </si>
  <si>
    <t>VoucherTypeFilter</t>
  </si>
  <si>
    <t>TK VOUCHER</t>
  </si>
  <si>
    <t>Data::Integer::0::Number</t>
  </si>
  <si>
    <t>Extension Name</t>
  </si>
  <si>
    <t>worldPOS-Voucher by World POS Sdn. Bhd.</t>
  </si>
  <si>
    <t>Environment name</t>
  </si>
  <si>
    <t>DocumentNoFilter</t>
  </si>
  <si>
    <t>Extension Publisher</t>
  </si>
  <si>
    <t>World POS Sdn. Bhd.</t>
  </si>
  <si>
    <t>Environment type</t>
  </si>
  <si>
    <t>Production</t>
  </si>
  <si>
    <t>DateActivedFilter</t>
  </si>
  <si>
    <t>Extension Version</t>
  </si>
  <si>
    <t>Company name</t>
  </si>
  <si>
    <t>HO</t>
  </si>
  <si>
    <t>Object ID</t>
  </si>
  <si>
    <t>Company Id</t>
  </si>
  <si>
    <t>{423CCAD4-A92C-F011-B000-00505693A2C3}</t>
  </si>
  <si>
    <t>Object Name</t>
  </si>
  <si>
    <t>Taka Voucher Campaign Summary</t>
  </si>
  <si>
    <t>User name</t>
  </si>
  <si>
    <t>SUPER</t>
  </si>
  <si>
    <t>About This Report Title</t>
  </si>
  <si>
    <t>Date</t>
  </si>
  <si>
    <t>About This Report Text</t>
  </si>
  <si>
    <t>Language</t>
  </si>
  <si>
    <t>Report help link</t>
  </si>
  <si>
    <t>Format Region</t>
  </si>
  <si>
    <t>CaptionKey</t>
  </si>
  <si>
    <t xml:space="preserve"> Denomination</t>
  </si>
  <si>
    <t xml:space="preserve">Qty </t>
  </si>
  <si>
    <t xml:space="preserve">Total </t>
  </si>
  <si>
    <t>ActualHCM</t>
  </si>
  <si>
    <t>ActualHN</t>
  </si>
  <si>
    <t>Campaigns</t>
  </si>
  <si>
    <t>Taka Voucher Campaigns Report</t>
  </si>
  <si>
    <t>DateTarget</t>
  </si>
  <si>
    <t>Caption</t>
  </si>
  <si>
    <t>Total  Denomination</t>
  </si>
  <si>
    <t xml:space="preserve">Total Qty </t>
  </si>
  <si>
    <t xml:space="preserve">Total Total </t>
  </si>
  <si>
    <t>Total ActualHCM</t>
  </si>
  <si>
    <t>Total ActualHN</t>
  </si>
  <si>
    <t>28/05/2026</t>
  </si>
  <si>
    <t>01/01/2026-28/05/2026</t>
  </si>
  <si>
    <t>VC Happy Day</t>
  </si>
  <si>
    <t>01/01/26..28/05/26</t>
  </si>
  <si>
    <t>1.0.0.8</t>
  </si>
  <si>
    <t>1..148</t>
  </si>
  <si>
    <t>VC-000002</t>
  </si>
  <si>
    <t>Total HCM +  HN</t>
  </si>
  <si>
    <t>HCM +  HN</t>
  </si>
  <si>
    <t xml:space="preserve">Total  Variance </t>
  </si>
  <si>
    <t xml:space="preserve"> Variance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</si>
</sst>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63"/>
      <scheme val="minor"/>
    </font>
    <font>
      <sz val="8"/>
      <name val="Aptos Narrow"/>
      <family val="2"/>
      <charset val="163"/>
      <scheme val="minor"/>
    </font>
    <font>
      <b/>
      <sz val="18"/>
      <color rgb="FFFFC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left" vertical="center"/>
    </xf>
    <xf numFmtId="3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0" fillId="3" borderId="0" xfId="0" applyFill="1"/>
    <xf numFmtId="0" fontId="4" fillId="0" borderId="0" xfId="0" applyFont="1"/>
    <xf numFmtId="0" fontId="0" fillId="4" borderId="1" xfId="0" applyFill="1" applyBorder="1"/>
    <xf numFmtId="0" fontId="6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14" fontId="7" fillId="0" borderId="0" xfId="0" applyNumberFormat="1" applyFont="1"/>
    <xf numFmtId="49" fontId="7" fillId="0" borderId="0" xfId="0" applyNumberFormat="1" applyFont="1"/>
    <xf numFmtId="3" fontId="7" fillId="0" borderId="0" xfId="0" applyNumberFormat="1" applyFont="1"/>
    <xf numFmtId="1" fontId="7" fillId="0" borderId="0" xfId="0" applyNumberFormat="1" applyFont="1"/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3" fontId="0" fillId="0" borderId="0" xfId="0" applyNumberFormat="1"/>
    <xf numFmtId="0" fontId="5" fillId="3" borderId="0" xfId="0" applyFont="1" applyFill="1" applyAlignment="1"/>
    <xf numFmtId="0" fontId="6" fillId="3" borderId="0" xfId="0" applyFont="1" applyFill="1" applyAlignment="1"/>
    <xf numFmtId="0" fontId="0" fillId="3" borderId="0" xfId="0" applyFill="1" applyAlignment="1"/>
    <xf numFmtId="0" fontId="4" fillId="3" borderId="0" xfId="0" applyFont="1" applyFill="1" applyAlignment="1"/>
  </cellXfs>
  <cellStyles count="1">
    <cellStyle name="Normal" xfId="0" builtinId="0"/>
  </cellStyles>
  <dxfs count="273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om IT" refreshedDate="46170.577967129633" createdVersion="8" refreshedVersion="8" minRefreshableVersion="3" recordCount="148" xr:uid="{D974D800-A931-4C3F-A85F-414A2BC6C90A}">
  <cacheSource type="worksheet">
    <worksheetSource name="Data"/>
  </cacheSource>
  <cacheFields count="16">
    <cacheField name="ReportDate" numFmtId="14">
      <sharedItems containsSemiMixedTypes="0" containsNonDate="0" containsDate="1" containsString="0" minDate="2026-01-01T00:00:00" maxDate="2026-05-29T00:00:00" count="148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</sharedItems>
      <fieldGroup par="13"/>
    </cacheField>
    <cacheField name="DatePrint" numFmtId="49">
      <sharedItems/>
    </cacheField>
    <cacheField name="DateTarget" numFmtId="49">
      <sharedItems/>
    </cacheField>
    <cacheField name="CampaignName" numFmtId="49">
      <sharedItems count="9">
        <s v="VC Happy Day"/>
        <s v="VC L!" u="1"/>
        <s v="VC L3" u="1"/>
        <s v="WOMENT" u="1"/>
        <s v="AAA" u="1"/>
        <s v="Test ABC" u="1"/>
        <s v="Birthday Taka" u="1"/>
        <s v="test vc" u="1"/>
        <s v="" u="1"/>
      </sharedItems>
    </cacheField>
    <cacheField name="Denomination" numFmtId="3">
      <sharedItems containsSemiMixedTypes="0" containsString="0" containsNumber="1" containsInteger="1" minValue="0" maxValue="200000"/>
    </cacheField>
    <cacheField name="DateActived" numFmtId="14">
      <sharedItems containsSemiMixedTypes="0" containsNonDate="0" containsDate="1" containsString="0" minDate="2026-01-01T00:00:00" maxDate="2026-05-29T00:00:00"/>
    </cacheField>
    <cacheField name="Qty" numFmtId="1">
      <sharedItems containsSemiMixedTypes="0" containsString="0" containsNumber="1" containsInteger="1" minValue="0" maxValue="6"/>
    </cacheField>
    <cacheField name="Total" numFmtId="3">
      <sharedItems containsSemiMixedTypes="0" containsString="0" containsNumber="1" containsInteger="1" minValue="0" maxValue="1200000"/>
    </cacheField>
    <cacheField name="HCM" numFmtId="3">
      <sharedItems containsSemiMixedTypes="0" containsString="0" containsNumber="1" containsInteger="1" minValue="0" maxValue="1200000"/>
    </cacheField>
    <cacheField name="HN" numFmtId="3">
      <sharedItems containsSemiMixedTypes="0" containsString="0" containsNumber="1" containsInteger="1" minValue="0" maxValue="0"/>
    </cacheField>
    <cacheField name="All" numFmtId="3">
      <sharedItems containsSemiMixedTypes="0" containsString="0" containsNumber="1" containsInteger="1" minValue="0" maxValue="1200000"/>
    </cacheField>
    <cacheField name="Variance" numFmtId="3">
      <sharedItems containsSemiMixedTypes="0" containsString="0" containsNumber="1" containsInteger="1" minValue="0" maxValue="0"/>
    </cacheField>
    <cacheField name="Days (ReportDate)" numFmtId="0" databaseField="0">
      <fieldGroup base="0">
        <rangePr groupBy="days" startDate="2026-01-01T00:00:00" endDate="2026-05-29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5/29/2026"/>
        </groupItems>
      </fieldGroup>
    </cacheField>
    <cacheField name="Months (ReportDate)" numFmtId="0" databaseField="0">
      <fieldGroup base="0">
        <rangePr groupBy="months" startDate="2026-01-01T00:00:00" endDate="2026-05-29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9/2026"/>
        </groupItems>
      </fieldGroup>
    </cacheField>
    <cacheField name="TotalActual" numFmtId="0" formula="HCM +HN" databaseField="0"/>
    <cacheField name="Variance " numFmtId="0" formula="Total -TotalActual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x v="0"/>
    <s v="28/05/2026"/>
    <s v="01/01/2026-28/05/2026"/>
    <x v="0"/>
    <n v="0"/>
    <d v="2026-01-01T00:00:00"/>
    <n v="0"/>
    <n v="0"/>
    <n v="0"/>
    <n v="0"/>
    <n v="0"/>
    <n v="0"/>
  </r>
  <r>
    <x v="1"/>
    <s v="28/05/2026"/>
    <s v="01/01/2026-28/05/2026"/>
    <x v="0"/>
    <n v="0"/>
    <d v="2026-01-02T00:00:00"/>
    <n v="0"/>
    <n v="0"/>
    <n v="0"/>
    <n v="0"/>
    <n v="0"/>
    <n v="0"/>
  </r>
  <r>
    <x v="2"/>
    <s v="28/05/2026"/>
    <s v="01/01/2026-28/05/2026"/>
    <x v="0"/>
    <n v="0"/>
    <d v="2026-01-03T00:00:00"/>
    <n v="0"/>
    <n v="0"/>
    <n v="0"/>
    <n v="0"/>
    <n v="0"/>
    <n v="0"/>
  </r>
  <r>
    <x v="3"/>
    <s v="28/05/2026"/>
    <s v="01/01/2026-28/05/2026"/>
    <x v="0"/>
    <n v="0"/>
    <d v="2026-01-04T00:00:00"/>
    <n v="0"/>
    <n v="0"/>
    <n v="0"/>
    <n v="0"/>
    <n v="0"/>
    <n v="0"/>
  </r>
  <r>
    <x v="4"/>
    <s v="28/05/2026"/>
    <s v="01/01/2026-28/05/2026"/>
    <x v="0"/>
    <n v="0"/>
    <d v="2026-01-05T00:00:00"/>
    <n v="0"/>
    <n v="0"/>
    <n v="0"/>
    <n v="0"/>
    <n v="0"/>
    <n v="0"/>
  </r>
  <r>
    <x v="5"/>
    <s v="28/05/2026"/>
    <s v="01/01/2026-28/05/2026"/>
    <x v="0"/>
    <n v="0"/>
    <d v="2026-01-06T00:00:00"/>
    <n v="0"/>
    <n v="0"/>
    <n v="0"/>
    <n v="0"/>
    <n v="0"/>
    <n v="0"/>
  </r>
  <r>
    <x v="6"/>
    <s v="28/05/2026"/>
    <s v="01/01/2026-28/05/2026"/>
    <x v="0"/>
    <n v="0"/>
    <d v="2026-01-07T00:00:00"/>
    <n v="0"/>
    <n v="0"/>
    <n v="0"/>
    <n v="0"/>
    <n v="0"/>
    <n v="0"/>
  </r>
  <r>
    <x v="7"/>
    <s v="28/05/2026"/>
    <s v="01/01/2026-28/05/2026"/>
    <x v="0"/>
    <n v="0"/>
    <d v="2026-01-08T00:00:00"/>
    <n v="0"/>
    <n v="0"/>
    <n v="0"/>
    <n v="0"/>
    <n v="0"/>
    <n v="0"/>
  </r>
  <r>
    <x v="8"/>
    <s v="28/05/2026"/>
    <s v="01/01/2026-28/05/2026"/>
    <x v="0"/>
    <n v="0"/>
    <d v="2026-01-09T00:00:00"/>
    <n v="0"/>
    <n v="0"/>
    <n v="0"/>
    <n v="0"/>
    <n v="0"/>
    <n v="0"/>
  </r>
  <r>
    <x v="9"/>
    <s v="28/05/2026"/>
    <s v="01/01/2026-28/05/2026"/>
    <x v="0"/>
    <n v="0"/>
    <d v="2026-01-10T00:00:00"/>
    <n v="0"/>
    <n v="0"/>
    <n v="0"/>
    <n v="0"/>
    <n v="0"/>
    <n v="0"/>
  </r>
  <r>
    <x v="10"/>
    <s v="28/05/2026"/>
    <s v="01/01/2026-28/05/2026"/>
    <x v="0"/>
    <n v="0"/>
    <d v="2026-01-11T00:00:00"/>
    <n v="0"/>
    <n v="0"/>
    <n v="0"/>
    <n v="0"/>
    <n v="0"/>
    <n v="0"/>
  </r>
  <r>
    <x v="11"/>
    <s v="28/05/2026"/>
    <s v="01/01/2026-28/05/2026"/>
    <x v="0"/>
    <n v="0"/>
    <d v="2026-01-12T00:00:00"/>
    <n v="0"/>
    <n v="0"/>
    <n v="0"/>
    <n v="0"/>
    <n v="0"/>
    <n v="0"/>
  </r>
  <r>
    <x v="12"/>
    <s v="28/05/2026"/>
    <s v="01/01/2026-28/05/2026"/>
    <x v="0"/>
    <n v="0"/>
    <d v="2026-01-13T00:00:00"/>
    <n v="0"/>
    <n v="0"/>
    <n v="0"/>
    <n v="0"/>
    <n v="0"/>
    <n v="0"/>
  </r>
  <r>
    <x v="13"/>
    <s v="28/05/2026"/>
    <s v="01/01/2026-28/05/2026"/>
    <x v="0"/>
    <n v="0"/>
    <d v="2026-01-14T00:00:00"/>
    <n v="0"/>
    <n v="0"/>
    <n v="0"/>
    <n v="0"/>
    <n v="0"/>
    <n v="0"/>
  </r>
  <r>
    <x v="14"/>
    <s v="28/05/2026"/>
    <s v="01/01/2026-28/05/2026"/>
    <x v="0"/>
    <n v="0"/>
    <d v="2026-01-15T00:00:00"/>
    <n v="0"/>
    <n v="0"/>
    <n v="0"/>
    <n v="0"/>
    <n v="0"/>
    <n v="0"/>
  </r>
  <r>
    <x v="15"/>
    <s v="28/05/2026"/>
    <s v="01/01/2026-28/05/2026"/>
    <x v="0"/>
    <n v="0"/>
    <d v="2026-01-16T00:00:00"/>
    <n v="0"/>
    <n v="0"/>
    <n v="0"/>
    <n v="0"/>
    <n v="0"/>
    <n v="0"/>
  </r>
  <r>
    <x v="16"/>
    <s v="28/05/2026"/>
    <s v="01/01/2026-28/05/2026"/>
    <x v="0"/>
    <n v="0"/>
    <d v="2026-01-17T00:00:00"/>
    <n v="0"/>
    <n v="0"/>
    <n v="0"/>
    <n v="0"/>
    <n v="0"/>
    <n v="0"/>
  </r>
  <r>
    <x v="17"/>
    <s v="28/05/2026"/>
    <s v="01/01/2026-28/05/2026"/>
    <x v="0"/>
    <n v="0"/>
    <d v="2026-01-18T00:00:00"/>
    <n v="0"/>
    <n v="0"/>
    <n v="0"/>
    <n v="0"/>
    <n v="0"/>
    <n v="0"/>
  </r>
  <r>
    <x v="18"/>
    <s v="28/05/2026"/>
    <s v="01/01/2026-28/05/2026"/>
    <x v="0"/>
    <n v="0"/>
    <d v="2026-01-19T00:00:00"/>
    <n v="0"/>
    <n v="0"/>
    <n v="0"/>
    <n v="0"/>
    <n v="0"/>
    <n v="0"/>
  </r>
  <r>
    <x v="19"/>
    <s v="28/05/2026"/>
    <s v="01/01/2026-28/05/2026"/>
    <x v="0"/>
    <n v="0"/>
    <d v="2026-01-20T00:00:00"/>
    <n v="0"/>
    <n v="0"/>
    <n v="0"/>
    <n v="0"/>
    <n v="0"/>
    <n v="0"/>
  </r>
  <r>
    <x v="20"/>
    <s v="28/05/2026"/>
    <s v="01/01/2026-28/05/2026"/>
    <x v="0"/>
    <n v="0"/>
    <d v="2026-01-21T00:00:00"/>
    <n v="0"/>
    <n v="0"/>
    <n v="0"/>
    <n v="0"/>
    <n v="0"/>
    <n v="0"/>
  </r>
  <r>
    <x v="21"/>
    <s v="28/05/2026"/>
    <s v="01/01/2026-28/05/2026"/>
    <x v="0"/>
    <n v="0"/>
    <d v="2026-01-22T00:00:00"/>
    <n v="0"/>
    <n v="0"/>
    <n v="0"/>
    <n v="0"/>
    <n v="0"/>
    <n v="0"/>
  </r>
  <r>
    <x v="22"/>
    <s v="28/05/2026"/>
    <s v="01/01/2026-28/05/2026"/>
    <x v="0"/>
    <n v="0"/>
    <d v="2026-01-23T00:00:00"/>
    <n v="0"/>
    <n v="0"/>
    <n v="0"/>
    <n v="0"/>
    <n v="0"/>
    <n v="0"/>
  </r>
  <r>
    <x v="23"/>
    <s v="28/05/2026"/>
    <s v="01/01/2026-28/05/2026"/>
    <x v="0"/>
    <n v="0"/>
    <d v="2026-01-24T00:00:00"/>
    <n v="0"/>
    <n v="0"/>
    <n v="0"/>
    <n v="0"/>
    <n v="0"/>
    <n v="0"/>
  </r>
  <r>
    <x v="24"/>
    <s v="28/05/2026"/>
    <s v="01/01/2026-28/05/2026"/>
    <x v="0"/>
    <n v="0"/>
    <d v="2026-01-25T00:00:00"/>
    <n v="0"/>
    <n v="0"/>
    <n v="0"/>
    <n v="0"/>
    <n v="0"/>
    <n v="0"/>
  </r>
  <r>
    <x v="25"/>
    <s v="28/05/2026"/>
    <s v="01/01/2026-28/05/2026"/>
    <x v="0"/>
    <n v="0"/>
    <d v="2026-01-26T00:00:00"/>
    <n v="0"/>
    <n v="0"/>
    <n v="0"/>
    <n v="0"/>
    <n v="0"/>
    <n v="0"/>
  </r>
  <r>
    <x v="26"/>
    <s v="28/05/2026"/>
    <s v="01/01/2026-28/05/2026"/>
    <x v="0"/>
    <n v="0"/>
    <d v="2026-01-27T00:00:00"/>
    <n v="0"/>
    <n v="0"/>
    <n v="0"/>
    <n v="0"/>
    <n v="0"/>
    <n v="0"/>
  </r>
  <r>
    <x v="27"/>
    <s v="28/05/2026"/>
    <s v="01/01/2026-28/05/2026"/>
    <x v="0"/>
    <n v="0"/>
    <d v="2026-01-28T00:00:00"/>
    <n v="0"/>
    <n v="0"/>
    <n v="0"/>
    <n v="0"/>
    <n v="0"/>
    <n v="0"/>
  </r>
  <r>
    <x v="28"/>
    <s v="28/05/2026"/>
    <s v="01/01/2026-28/05/2026"/>
    <x v="0"/>
    <n v="0"/>
    <d v="2026-01-29T00:00:00"/>
    <n v="0"/>
    <n v="0"/>
    <n v="0"/>
    <n v="0"/>
    <n v="0"/>
    <n v="0"/>
  </r>
  <r>
    <x v="29"/>
    <s v="28/05/2026"/>
    <s v="01/01/2026-28/05/2026"/>
    <x v="0"/>
    <n v="0"/>
    <d v="2026-01-30T00:00:00"/>
    <n v="0"/>
    <n v="0"/>
    <n v="0"/>
    <n v="0"/>
    <n v="0"/>
    <n v="0"/>
  </r>
  <r>
    <x v="30"/>
    <s v="28/05/2026"/>
    <s v="01/01/2026-28/05/2026"/>
    <x v="0"/>
    <n v="0"/>
    <d v="2026-01-31T00:00:00"/>
    <n v="0"/>
    <n v="0"/>
    <n v="0"/>
    <n v="0"/>
    <n v="0"/>
    <n v="0"/>
  </r>
  <r>
    <x v="31"/>
    <s v="28/05/2026"/>
    <s v="01/01/2026-28/05/2026"/>
    <x v="0"/>
    <n v="0"/>
    <d v="2026-02-01T00:00:00"/>
    <n v="0"/>
    <n v="0"/>
    <n v="0"/>
    <n v="0"/>
    <n v="0"/>
    <n v="0"/>
  </r>
  <r>
    <x v="32"/>
    <s v="28/05/2026"/>
    <s v="01/01/2026-28/05/2026"/>
    <x v="0"/>
    <n v="0"/>
    <d v="2026-02-02T00:00:00"/>
    <n v="0"/>
    <n v="0"/>
    <n v="0"/>
    <n v="0"/>
    <n v="0"/>
    <n v="0"/>
  </r>
  <r>
    <x v="33"/>
    <s v="28/05/2026"/>
    <s v="01/01/2026-28/05/2026"/>
    <x v="0"/>
    <n v="0"/>
    <d v="2026-02-03T00:00:00"/>
    <n v="0"/>
    <n v="0"/>
    <n v="0"/>
    <n v="0"/>
    <n v="0"/>
    <n v="0"/>
  </r>
  <r>
    <x v="34"/>
    <s v="28/05/2026"/>
    <s v="01/01/2026-28/05/2026"/>
    <x v="0"/>
    <n v="0"/>
    <d v="2026-02-04T00:00:00"/>
    <n v="0"/>
    <n v="0"/>
    <n v="0"/>
    <n v="0"/>
    <n v="0"/>
    <n v="0"/>
  </r>
  <r>
    <x v="35"/>
    <s v="28/05/2026"/>
    <s v="01/01/2026-28/05/2026"/>
    <x v="0"/>
    <n v="0"/>
    <d v="2026-02-05T00:00:00"/>
    <n v="0"/>
    <n v="0"/>
    <n v="0"/>
    <n v="0"/>
    <n v="0"/>
    <n v="0"/>
  </r>
  <r>
    <x v="36"/>
    <s v="28/05/2026"/>
    <s v="01/01/2026-28/05/2026"/>
    <x v="0"/>
    <n v="0"/>
    <d v="2026-02-06T00:00:00"/>
    <n v="0"/>
    <n v="0"/>
    <n v="0"/>
    <n v="0"/>
    <n v="0"/>
    <n v="0"/>
  </r>
  <r>
    <x v="37"/>
    <s v="28/05/2026"/>
    <s v="01/01/2026-28/05/2026"/>
    <x v="0"/>
    <n v="0"/>
    <d v="2026-02-07T00:00:00"/>
    <n v="0"/>
    <n v="0"/>
    <n v="0"/>
    <n v="0"/>
    <n v="0"/>
    <n v="0"/>
  </r>
  <r>
    <x v="38"/>
    <s v="28/05/2026"/>
    <s v="01/01/2026-28/05/2026"/>
    <x v="0"/>
    <n v="0"/>
    <d v="2026-02-08T00:00:00"/>
    <n v="0"/>
    <n v="0"/>
    <n v="0"/>
    <n v="0"/>
    <n v="0"/>
    <n v="0"/>
  </r>
  <r>
    <x v="39"/>
    <s v="28/05/2026"/>
    <s v="01/01/2026-28/05/2026"/>
    <x v="0"/>
    <n v="0"/>
    <d v="2026-02-09T00:00:00"/>
    <n v="0"/>
    <n v="0"/>
    <n v="0"/>
    <n v="0"/>
    <n v="0"/>
    <n v="0"/>
  </r>
  <r>
    <x v="40"/>
    <s v="28/05/2026"/>
    <s v="01/01/2026-28/05/2026"/>
    <x v="0"/>
    <n v="0"/>
    <d v="2026-02-10T00:00:00"/>
    <n v="0"/>
    <n v="0"/>
    <n v="0"/>
    <n v="0"/>
    <n v="0"/>
    <n v="0"/>
  </r>
  <r>
    <x v="41"/>
    <s v="28/05/2026"/>
    <s v="01/01/2026-28/05/2026"/>
    <x v="0"/>
    <n v="0"/>
    <d v="2026-02-11T00:00:00"/>
    <n v="0"/>
    <n v="0"/>
    <n v="0"/>
    <n v="0"/>
    <n v="0"/>
    <n v="0"/>
  </r>
  <r>
    <x v="42"/>
    <s v="28/05/2026"/>
    <s v="01/01/2026-28/05/2026"/>
    <x v="0"/>
    <n v="0"/>
    <d v="2026-02-12T00:00:00"/>
    <n v="0"/>
    <n v="0"/>
    <n v="0"/>
    <n v="0"/>
    <n v="0"/>
    <n v="0"/>
  </r>
  <r>
    <x v="43"/>
    <s v="28/05/2026"/>
    <s v="01/01/2026-28/05/2026"/>
    <x v="0"/>
    <n v="0"/>
    <d v="2026-02-13T00:00:00"/>
    <n v="0"/>
    <n v="0"/>
    <n v="0"/>
    <n v="0"/>
    <n v="0"/>
    <n v="0"/>
  </r>
  <r>
    <x v="44"/>
    <s v="28/05/2026"/>
    <s v="01/01/2026-28/05/2026"/>
    <x v="0"/>
    <n v="0"/>
    <d v="2026-02-14T00:00:00"/>
    <n v="0"/>
    <n v="0"/>
    <n v="0"/>
    <n v="0"/>
    <n v="0"/>
    <n v="0"/>
  </r>
  <r>
    <x v="45"/>
    <s v="28/05/2026"/>
    <s v="01/01/2026-28/05/2026"/>
    <x v="0"/>
    <n v="0"/>
    <d v="2026-02-15T00:00:00"/>
    <n v="0"/>
    <n v="0"/>
    <n v="0"/>
    <n v="0"/>
    <n v="0"/>
    <n v="0"/>
  </r>
  <r>
    <x v="46"/>
    <s v="28/05/2026"/>
    <s v="01/01/2026-28/05/2026"/>
    <x v="0"/>
    <n v="0"/>
    <d v="2026-02-16T00:00:00"/>
    <n v="0"/>
    <n v="0"/>
    <n v="0"/>
    <n v="0"/>
    <n v="0"/>
    <n v="0"/>
  </r>
  <r>
    <x v="47"/>
    <s v="28/05/2026"/>
    <s v="01/01/2026-28/05/2026"/>
    <x v="0"/>
    <n v="0"/>
    <d v="2026-02-17T00:00:00"/>
    <n v="0"/>
    <n v="0"/>
    <n v="0"/>
    <n v="0"/>
    <n v="0"/>
    <n v="0"/>
  </r>
  <r>
    <x v="48"/>
    <s v="28/05/2026"/>
    <s v="01/01/2026-28/05/2026"/>
    <x v="0"/>
    <n v="0"/>
    <d v="2026-02-18T00:00:00"/>
    <n v="0"/>
    <n v="0"/>
    <n v="0"/>
    <n v="0"/>
    <n v="0"/>
    <n v="0"/>
  </r>
  <r>
    <x v="49"/>
    <s v="28/05/2026"/>
    <s v="01/01/2026-28/05/2026"/>
    <x v="0"/>
    <n v="0"/>
    <d v="2026-02-19T00:00:00"/>
    <n v="0"/>
    <n v="0"/>
    <n v="0"/>
    <n v="0"/>
    <n v="0"/>
    <n v="0"/>
  </r>
  <r>
    <x v="50"/>
    <s v="28/05/2026"/>
    <s v="01/01/2026-28/05/2026"/>
    <x v="0"/>
    <n v="0"/>
    <d v="2026-02-20T00:00:00"/>
    <n v="0"/>
    <n v="0"/>
    <n v="0"/>
    <n v="0"/>
    <n v="0"/>
    <n v="0"/>
  </r>
  <r>
    <x v="51"/>
    <s v="28/05/2026"/>
    <s v="01/01/2026-28/05/2026"/>
    <x v="0"/>
    <n v="0"/>
    <d v="2026-02-21T00:00:00"/>
    <n v="0"/>
    <n v="0"/>
    <n v="0"/>
    <n v="0"/>
    <n v="0"/>
    <n v="0"/>
  </r>
  <r>
    <x v="52"/>
    <s v="28/05/2026"/>
    <s v="01/01/2026-28/05/2026"/>
    <x v="0"/>
    <n v="0"/>
    <d v="2026-02-22T00:00:00"/>
    <n v="0"/>
    <n v="0"/>
    <n v="0"/>
    <n v="0"/>
    <n v="0"/>
    <n v="0"/>
  </r>
  <r>
    <x v="53"/>
    <s v="28/05/2026"/>
    <s v="01/01/2026-28/05/2026"/>
    <x v="0"/>
    <n v="0"/>
    <d v="2026-02-23T00:00:00"/>
    <n v="0"/>
    <n v="0"/>
    <n v="0"/>
    <n v="0"/>
    <n v="0"/>
    <n v="0"/>
  </r>
  <r>
    <x v="54"/>
    <s v="28/05/2026"/>
    <s v="01/01/2026-28/05/2026"/>
    <x v="0"/>
    <n v="0"/>
    <d v="2026-02-24T00:00:00"/>
    <n v="0"/>
    <n v="0"/>
    <n v="0"/>
    <n v="0"/>
    <n v="0"/>
    <n v="0"/>
  </r>
  <r>
    <x v="55"/>
    <s v="28/05/2026"/>
    <s v="01/01/2026-28/05/2026"/>
    <x v="0"/>
    <n v="0"/>
    <d v="2026-02-25T00:00:00"/>
    <n v="0"/>
    <n v="0"/>
    <n v="0"/>
    <n v="0"/>
    <n v="0"/>
    <n v="0"/>
  </r>
  <r>
    <x v="56"/>
    <s v="28/05/2026"/>
    <s v="01/01/2026-28/05/2026"/>
    <x v="0"/>
    <n v="0"/>
    <d v="2026-02-26T00:00:00"/>
    <n v="0"/>
    <n v="0"/>
    <n v="0"/>
    <n v="0"/>
    <n v="0"/>
    <n v="0"/>
  </r>
  <r>
    <x v="57"/>
    <s v="28/05/2026"/>
    <s v="01/01/2026-28/05/2026"/>
    <x v="0"/>
    <n v="0"/>
    <d v="2026-02-27T00:00:00"/>
    <n v="0"/>
    <n v="0"/>
    <n v="0"/>
    <n v="0"/>
    <n v="0"/>
    <n v="0"/>
  </r>
  <r>
    <x v="58"/>
    <s v="28/05/2026"/>
    <s v="01/01/2026-28/05/2026"/>
    <x v="0"/>
    <n v="0"/>
    <d v="2026-02-28T00:00:00"/>
    <n v="0"/>
    <n v="0"/>
    <n v="0"/>
    <n v="0"/>
    <n v="0"/>
    <n v="0"/>
  </r>
  <r>
    <x v="59"/>
    <s v="28/05/2026"/>
    <s v="01/01/2026-28/05/2026"/>
    <x v="0"/>
    <n v="0"/>
    <d v="2026-03-01T00:00:00"/>
    <n v="0"/>
    <n v="0"/>
    <n v="0"/>
    <n v="0"/>
    <n v="0"/>
    <n v="0"/>
  </r>
  <r>
    <x v="60"/>
    <s v="28/05/2026"/>
    <s v="01/01/2026-28/05/2026"/>
    <x v="0"/>
    <n v="0"/>
    <d v="2026-03-02T00:00:00"/>
    <n v="0"/>
    <n v="0"/>
    <n v="0"/>
    <n v="0"/>
    <n v="0"/>
    <n v="0"/>
  </r>
  <r>
    <x v="61"/>
    <s v="28/05/2026"/>
    <s v="01/01/2026-28/05/2026"/>
    <x v="0"/>
    <n v="0"/>
    <d v="2026-03-03T00:00:00"/>
    <n v="0"/>
    <n v="0"/>
    <n v="0"/>
    <n v="0"/>
    <n v="0"/>
    <n v="0"/>
  </r>
  <r>
    <x v="62"/>
    <s v="28/05/2026"/>
    <s v="01/01/2026-28/05/2026"/>
    <x v="0"/>
    <n v="0"/>
    <d v="2026-03-04T00:00:00"/>
    <n v="0"/>
    <n v="0"/>
    <n v="0"/>
    <n v="0"/>
    <n v="0"/>
    <n v="0"/>
  </r>
  <r>
    <x v="63"/>
    <s v="28/05/2026"/>
    <s v="01/01/2026-28/05/2026"/>
    <x v="0"/>
    <n v="0"/>
    <d v="2026-03-05T00:00:00"/>
    <n v="0"/>
    <n v="0"/>
    <n v="0"/>
    <n v="0"/>
    <n v="0"/>
    <n v="0"/>
  </r>
  <r>
    <x v="64"/>
    <s v="28/05/2026"/>
    <s v="01/01/2026-28/05/2026"/>
    <x v="0"/>
    <n v="0"/>
    <d v="2026-03-06T00:00:00"/>
    <n v="0"/>
    <n v="0"/>
    <n v="0"/>
    <n v="0"/>
    <n v="0"/>
    <n v="0"/>
  </r>
  <r>
    <x v="65"/>
    <s v="28/05/2026"/>
    <s v="01/01/2026-28/05/2026"/>
    <x v="0"/>
    <n v="0"/>
    <d v="2026-03-07T00:00:00"/>
    <n v="0"/>
    <n v="0"/>
    <n v="0"/>
    <n v="0"/>
    <n v="0"/>
    <n v="0"/>
  </r>
  <r>
    <x v="66"/>
    <s v="28/05/2026"/>
    <s v="01/01/2026-28/05/2026"/>
    <x v="0"/>
    <n v="0"/>
    <d v="2026-03-08T00:00:00"/>
    <n v="0"/>
    <n v="0"/>
    <n v="0"/>
    <n v="0"/>
    <n v="0"/>
    <n v="0"/>
  </r>
  <r>
    <x v="67"/>
    <s v="28/05/2026"/>
    <s v="01/01/2026-28/05/2026"/>
    <x v="0"/>
    <n v="0"/>
    <d v="2026-03-09T00:00:00"/>
    <n v="0"/>
    <n v="0"/>
    <n v="0"/>
    <n v="0"/>
    <n v="0"/>
    <n v="0"/>
  </r>
  <r>
    <x v="68"/>
    <s v="28/05/2026"/>
    <s v="01/01/2026-28/05/2026"/>
    <x v="0"/>
    <n v="0"/>
    <d v="2026-03-10T00:00:00"/>
    <n v="0"/>
    <n v="0"/>
    <n v="0"/>
    <n v="0"/>
    <n v="0"/>
    <n v="0"/>
  </r>
  <r>
    <x v="69"/>
    <s v="28/05/2026"/>
    <s v="01/01/2026-28/05/2026"/>
    <x v="0"/>
    <n v="0"/>
    <d v="2026-03-11T00:00:00"/>
    <n v="0"/>
    <n v="0"/>
    <n v="0"/>
    <n v="0"/>
    <n v="0"/>
    <n v="0"/>
  </r>
  <r>
    <x v="70"/>
    <s v="28/05/2026"/>
    <s v="01/01/2026-28/05/2026"/>
    <x v="0"/>
    <n v="0"/>
    <d v="2026-03-12T00:00:00"/>
    <n v="0"/>
    <n v="0"/>
    <n v="0"/>
    <n v="0"/>
    <n v="0"/>
    <n v="0"/>
  </r>
  <r>
    <x v="71"/>
    <s v="28/05/2026"/>
    <s v="01/01/2026-28/05/2026"/>
    <x v="0"/>
    <n v="0"/>
    <d v="2026-03-13T00:00:00"/>
    <n v="0"/>
    <n v="0"/>
    <n v="0"/>
    <n v="0"/>
    <n v="0"/>
    <n v="0"/>
  </r>
  <r>
    <x v="72"/>
    <s v="28/05/2026"/>
    <s v="01/01/2026-28/05/2026"/>
    <x v="0"/>
    <n v="0"/>
    <d v="2026-03-14T00:00:00"/>
    <n v="0"/>
    <n v="0"/>
    <n v="0"/>
    <n v="0"/>
    <n v="0"/>
    <n v="0"/>
  </r>
  <r>
    <x v="73"/>
    <s v="28/05/2026"/>
    <s v="01/01/2026-28/05/2026"/>
    <x v="0"/>
    <n v="0"/>
    <d v="2026-03-15T00:00:00"/>
    <n v="0"/>
    <n v="0"/>
    <n v="0"/>
    <n v="0"/>
    <n v="0"/>
    <n v="0"/>
  </r>
  <r>
    <x v="74"/>
    <s v="28/05/2026"/>
    <s v="01/01/2026-28/05/2026"/>
    <x v="0"/>
    <n v="0"/>
    <d v="2026-03-16T00:00:00"/>
    <n v="0"/>
    <n v="0"/>
    <n v="0"/>
    <n v="0"/>
    <n v="0"/>
    <n v="0"/>
  </r>
  <r>
    <x v="75"/>
    <s v="28/05/2026"/>
    <s v="01/01/2026-28/05/2026"/>
    <x v="0"/>
    <n v="0"/>
    <d v="2026-03-17T00:00:00"/>
    <n v="0"/>
    <n v="0"/>
    <n v="0"/>
    <n v="0"/>
    <n v="0"/>
    <n v="0"/>
  </r>
  <r>
    <x v="76"/>
    <s v="28/05/2026"/>
    <s v="01/01/2026-28/05/2026"/>
    <x v="0"/>
    <n v="0"/>
    <d v="2026-03-18T00:00:00"/>
    <n v="0"/>
    <n v="0"/>
    <n v="0"/>
    <n v="0"/>
    <n v="0"/>
    <n v="0"/>
  </r>
  <r>
    <x v="77"/>
    <s v="28/05/2026"/>
    <s v="01/01/2026-28/05/2026"/>
    <x v="0"/>
    <n v="0"/>
    <d v="2026-03-19T00:00:00"/>
    <n v="0"/>
    <n v="0"/>
    <n v="0"/>
    <n v="0"/>
    <n v="0"/>
    <n v="0"/>
  </r>
  <r>
    <x v="78"/>
    <s v="28/05/2026"/>
    <s v="01/01/2026-28/05/2026"/>
    <x v="0"/>
    <n v="0"/>
    <d v="2026-03-20T00:00:00"/>
    <n v="0"/>
    <n v="0"/>
    <n v="0"/>
    <n v="0"/>
    <n v="0"/>
    <n v="0"/>
  </r>
  <r>
    <x v="79"/>
    <s v="28/05/2026"/>
    <s v="01/01/2026-28/05/2026"/>
    <x v="0"/>
    <n v="0"/>
    <d v="2026-03-21T00:00:00"/>
    <n v="0"/>
    <n v="0"/>
    <n v="0"/>
    <n v="0"/>
    <n v="0"/>
    <n v="0"/>
  </r>
  <r>
    <x v="80"/>
    <s v="28/05/2026"/>
    <s v="01/01/2026-28/05/2026"/>
    <x v="0"/>
    <n v="0"/>
    <d v="2026-03-22T00:00:00"/>
    <n v="0"/>
    <n v="0"/>
    <n v="0"/>
    <n v="0"/>
    <n v="0"/>
    <n v="0"/>
  </r>
  <r>
    <x v="81"/>
    <s v="28/05/2026"/>
    <s v="01/01/2026-28/05/2026"/>
    <x v="0"/>
    <n v="0"/>
    <d v="2026-03-23T00:00:00"/>
    <n v="0"/>
    <n v="0"/>
    <n v="0"/>
    <n v="0"/>
    <n v="0"/>
    <n v="0"/>
  </r>
  <r>
    <x v="82"/>
    <s v="28/05/2026"/>
    <s v="01/01/2026-28/05/2026"/>
    <x v="0"/>
    <n v="0"/>
    <d v="2026-03-24T00:00:00"/>
    <n v="0"/>
    <n v="0"/>
    <n v="0"/>
    <n v="0"/>
    <n v="0"/>
    <n v="0"/>
  </r>
  <r>
    <x v="83"/>
    <s v="28/05/2026"/>
    <s v="01/01/2026-28/05/2026"/>
    <x v="0"/>
    <n v="0"/>
    <d v="2026-03-25T00:00:00"/>
    <n v="0"/>
    <n v="0"/>
    <n v="0"/>
    <n v="0"/>
    <n v="0"/>
    <n v="0"/>
  </r>
  <r>
    <x v="84"/>
    <s v="28/05/2026"/>
    <s v="01/01/2026-28/05/2026"/>
    <x v="0"/>
    <n v="0"/>
    <d v="2026-03-26T00:00:00"/>
    <n v="0"/>
    <n v="0"/>
    <n v="0"/>
    <n v="0"/>
    <n v="0"/>
    <n v="0"/>
  </r>
  <r>
    <x v="85"/>
    <s v="28/05/2026"/>
    <s v="01/01/2026-28/05/2026"/>
    <x v="0"/>
    <n v="0"/>
    <d v="2026-03-27T00:00:00"/>
    <n v="0"/>
    <n v="0"/>
    <n v="0"/>
    <n v="0"/>
    <n v="0"/>
    <n v="0"/>
  </r>
  <r>
    <x v="86"/>
    <s v="28/05/2026"/>
    <s v="01/01/2026-28/05/2026"/>
    <x v="0"/>
    <n v="0"/>
    <d v="2026-03-28T00:00:00"/>
    <n v="0"/>
    <n v="0"/>
    <n v="0"/>
    <n v="0"/>
    <n v="0"/>
    <n v="0"/>
  </r>
  <r>
    <x v="87"/>
    <s v="28/05/2026"/>
    <s v="01/01/2026-28/05/2026"/>
    <x v="0"/>
    <n v="0"/>
    <d v="2026-03-29T00:00:00"/>
    <n v="0"/>
    <n v="0"/>
    <n v="0"/>
    <n v="0"/>
    <n v="0"/>
    <n v="0"/>
  </r>
  <r>
    <x v="88"/>
    <s v="28/05/2026"/>
    <s v="01/01/2026-28/05/2026"/>
    <x v="0"/>
    <n v="0"/>
    <d v="2026-03-30T00:00:00"/>
    <n v="0"/>
    <n v="0"/>
    <n v="0"/>
    <n v="0"/>
    <n v="0"/>
    <n v="0"/>
  </r>
  <r>
    <x v="89"/>
    <s v="28/05/2026"/>
    <s v="01/01/2026-28/05/2026"/>
    <x v="0"/>
    <n v="0"/>
    <d v="2026-03-31T00:00:00"/>
    <n v="0"/>
    <n v="0"/>
    <n v="0"/>
    <n v="0"/>
    <n v="0"/>
    <n v="0"/>
  </r>
  <r>
    <x v="90"/>
    <s v="28/05/2026"/>
    <s v="01/01/2026-28/05/2026"/>
    <x v="0"/>
    <n v="0"/>
    <d v="2026-04-01T00:00:00"/>
    <n v="0"/>
    <n v="0"/>
    <n v="0"/>
    <n v="0"/>
    <n v="0"/>
    <n v="0"/>
  </r>
  <r>
    <x v="91"/>
    <s v="28/05/2026"/>
    <s v="01/01/2026-28/05/2026"/>
    <x v="0"/>
    <n v="0"/>
    <d v="2026-04-02T00:00:00"/>
    <n v="0"/>
    <n v="0"/>
    <n v="0"/>
    <n v="0"/>
    <n v="0"/>
    <n v="0"/>
  </r>
  <r>
    <x v="92"/>
    <s v="28/05/2026"/>
    <s v="01/01/2026-28/05/2026"/>
    <x v="0"/>
    <n v="0"/>
    <d v="2026-04-03T00:00:00"/>
    <n v="0"/>
    <n v="0"/>
    <n v="0"/>
    <n v="0"/>
    <n v="0"/>
    <n v="0"/>
  </r>
  <r>
    <x v="93"/>
    <s v="28/05/2026"/>
    <s v="01/01/2026-28/05/2026"/>
    <x v="0"/>
    <n v="0"/>
    <d v="2026-04-04T00:00:00"/>
    <n v="0"/>
    <n v="0"/>
    <n v="0"/>
    <n v="0"/>
    <n v="0"/>
    <n v="0"/>
  </r>
  <r>
    <x v="94"/>
    <s v="28/05/2026"/>
    <s v="01/01/2026-28/05/2026"/>
    <x v="0"/>
    <n v="0"/>
    <d v="2026-04-05T00:00:00"/>
    <n v="0"/>
    <n v="0"/>
    <n v="0"/>
    <n v="0"/>
    <n v="0"/>
    <n v="0"/>
  </r>
  <r>
    <x v="95"/>
    <s v="28/05/2026"/>
    <s v="01/01/2026-28/05/2026"/>
    <x v="0"/>
    <n v="0"/>
    <d v="2026-04-06T00:00:00"/>
    <n v="0"/>
    <n v="0"/>
    <n v="0"/>
    <n v="0"/>
    <n v="0"/>
    <n v="0"/>
  </r>
  <r>
    <x v="96"/>
    <s v="28/05/2026"/>
    <s v="01/01/2026-28/05/2026"/>
    <x v="0"/>
    <n v="0"/>
    <d v="2026-04-07T00:00:00"/>
    <n v="0"/>
    <n v="0"/>
    <n v="0"/>
    <n v="0"/>
    <n v="0"/>
    <n v="0"/>
  </r>
  <r>
    <x v="97"/>
    <s v="28/05/2026"/>
    <s v="01/01/2026-28/05/2026"/>
    <x v="0"/>
    <n v="0"/>
    <d v="2026-04-08T00:00:00"/>
    <n v="0"/>
    <n v="0"/>
    <n v="0"/>
    <n v="0"/>
    <n v="0"/>
    <n v="0"/>
  </r>
  <r>
    <x v="98"/>
    <s v="28/05/2026"/>
    <s v="01/01/2026-28/05/2026"/>
    <x v="0"/>
    <n v="0"/>
    <d v="2026-04-09T00:00:00"/>
    <n v="0"/>
    <n v="0"/>
    <n v="0"/>
    <n v="0"/>
    <n v="0"/>
    <n v="0"/>
  </r>
  <r>
    <x v="99"/>
    <s v="28/05/2026"/>
    <s v="01/01/2026-28/05/2026"/>
    <x v="0"/>
    <n v="0"/>
    <d v="2026-04-10T00:00:00"/>
    <n v="0"/>
    <n v="0"/>
    <n v="0"/>
    <n v="0"/>
    <n v="0"/>
    <n v="0"/>
  </r>
  <r>
    <x v="100"/>
    <s v="28/05/2026"/>
    <s v="01/01/2026-28/05/2026"/>
    <x v="0"/>
    <n v="0"/>
    <d v="2026-04-11T00:00:00"/>
    <n v="0"/>
    <n v="0"/>
    <n v="0"/>
    <n v="0"/>
    <n v="0"/>
    <n v="0"/>
  </r>
  <r>
    <x v="101"/>
    <s v="28/05/2026"/>
    <s v="01/01/2026-28/05/2026"/>
    <x v="0"/>
    <n v="0"/>
    <d v="2026-04-12T00:00:00"/>
    <n v="0"/>
    <n v="0"/>
    <n v="0"/>
    <n v="0"/>
    <n v="0"/>
    <n v="0"/>
  </r>
  <r>
    <x v="102"/>
    <s v="28/05/2026"/>
    <s v="01/01/2026-28/05/2026"/>
    <x v="0"/>
    <n v="0"/>
    <d v="2026-04-13T00:00:00"/>
    <n v="0"/>
    <n v="0"/>
    <n v="0"/>
    <n v="0"/>
    <n v="0"/>
    <n v="0"/>
  </r>
  <r>
    <x v="103"/>
    <s v="28/05/2026"/>
    <s v="01/01/2026-28/05/2026"/>
    <x v="0"/>
    <n v="0"/>
    <d v="2026-04-14T00:00:00"/>
    <n v="0"/>
    <n v="0"/>
    <n v="0"/>
    <n v="0"/>
    <n v="0"/>
    <n v="0"/>
  </r>
  <r>
    <x v="104"/>
    <s v="28/05/2026"/>
    <s v="01/01/2026-28/05/2026"/>
    <x v="0"/>
    <n v="0"/>
    <d v="2026-04-15T00:00:00"/>
    <n v="0"/>
    <n v="0"/>
    <n v="0"/>
    <n v="0"/>
    <n v="0"/>
    <n v="0"/>
  </r>
  <r>
    <x v="105"/>
    <s v="28/05/2026"/>
    <s v="01/01/2026-28/05/2026"/>
    <x v="0"/>
    <n v="0"/>
    <d v="2026-04-16T00:00:00"/>
    <n v="0"/>
    <n v="0"/>
    <n v="0"/>
    <n v="0"/>
    <n v="0"/>
    <n v="0"/>
  </r>
  <r>
    <x v="106"/>
    <s v="28/05/2026"/>
    <s v="01/01/2026-28/05/2026"/>
    <x v="0"/>
    <n v="0"/>
    <d v="2026-04-17T00:00:00"/>
    <n v="0"/>
    <n v="0"/>
    <n v="0"/>
    <n v="0"/>
    <n v="0"/>
    <n v="0"/>
  </r>
  <r>
    <x v="107"/>
    <s v="28/05/2026"/>
    <s v="01/01/2026-28/05/2026"/>
    <x v="0"/>
    <n v="0"/>
    <d v="2026-04-18T00:00:00"/>
    <n v="0"/>
    <n v="0"/>
    <n v="0"/>
    <n v="0"/>
    <n v="0"/>
    <n v="0"/>
  </r>
  <r>
    <x v="108"/>
    <s v="28/05/2026"/>
    <s v="01/01/2026-28/05/2026"/>
    <x v="0"/>
    <n v="0"/>
    <d v="2026-04-19T00:00:00"/>
    <n v="0"/>
    <n v="0"/>
    <n v="0"/>
    <n v="0"/>
    <n v="0"/>
    <n v="0"/>
  </r>
  <r>
    <x v="109"/>
    <s v="28/05/2026"/>
    <s v="01/01/2026-28/05/2026"/>
    <x v="0"/>
    <n v="0"/>
    <d v="2026-04-20T00:00:00"/>
    <n v="0"/>
    <n v="0"/>
    <n v="0"/>
    <n v="0"/>
    <n v="0"/>
    <n v="0"/>
  </r>
  <r>
    <x v="110"/>
    <s v="28/05/2026"/>
    <s v="01/01/2026-28/05/2026"/>
    <x v="0"/>
    <n v="0"/>
    <d v="2026-04-21T00:00:00"/>
    <n v="0"/>
    <n v="0"/>
    <n v="0"/>
    <n v="0"/>
    <n v="0"/>
    <n v="0"/>
  </r>
  <r>
    <x v="111"/>
    <s v="28/05/2026"/>
    <s v="01/01/2026-28/05/2026"/>
    <x v="0"/>
    <n v="0"/>
    <d v="2026-04-22T00:00:00"/>
    <n v="0"/>
    <n v="0"/>
    <n v="0"/>
    <n v="0"/>
    <n v="0"/>
    <n v="0"/>
  </r>
  <r>
    <x v="112"/>
    <s v="28/05/2026"/>
    <s v="01/01/2026-28/05/2026"/>
    <x v="0"/>
    <n v="0"/>
    <d v="2026-04-23T00:00:00"/>
    <n v="0"/>
    <n v="0"/>
    <n v="0"/>
    <n v="0"/>
    <n v="0"/>
    <n v="0"/>
  </r>
  <r>
    <x v="113"/>
    <s v="28/05/2026"/>
    <s v="01/01/2026-28/05/2026"/>
    <x v="0"/>
    <n v="0"/>
    <d v="2026-04-24T00:00:00"/>
    <n v="0"/>
    <n v="0"/>
    <n v="0"/>
    <n v="0"/>
    <n v="0"/>
    <n v="0"/>
  </r>
  <r>
    <x v="114"/>
    <s v="28/05/2026"/>
    <s v="01/01/2026-28/05/2026"/>
    <x v="0"/>
    <n v="0"/>
    <d v="2026-04-25T00:00:00"/>
    <n v="0"/>
    <n v="0"/>
    <n v="0"/>
    <n v="0"/>
    <n v="0"/>
    <n v="0"/>
  </r>
  <r>
    <x v="115"/>
    <s v="28/05/2026"/>
    <s v="01/01/2026-28/05/2026"/>
    <x v="0"/>
    <n v="0"/>
    <d v="2026-04-26T00:00:00"/>
    <n v="0"/>
    <n v="0"/>
    <n v="0"/>
    <n v="0"/>
    <n v="0"/>
    <n v="0"/>
  </r>
  <r>
    <x v="116"/>
    <s v="28/05/2026"/>
    <s v="01/01/2026-28/05/2026"/>
    <x v="0"/>
    <n v="0"/>
    <d v="2026-04-27T00:00:00"/>
    <n v="0"/>
    <n v="0"/>
    <n v="0"/>
    <n v="0"/>
    <n v="0"/>
    <n v="0"/>
  </r>
  <r>
    <x v="117"/>
    <s v="28/05/2026"/>
    <s v="01/01/2026-28/05/2026"/>
    <x v="0"/>
    <n v="0"/>
    <d v="2026-04-28T00:00:00"/>
    <n v="0"/>
    <n v="0"/>
    <n v="0"/>
    <n v="0"/>
    <n v="0"/>
    <n v="0"/>
  </r>
  <r>
    <x v="118"/>
    <s v="28/05/2026"/>
    <s v="01/01/2026-28/05/2026"/>
    <x v="0"/>
    <n v="0"/>
    <d v="2026-04-29T00:00:00"/>
    <n v="0"/>
    <n v="0"/>
    <n v="0"/>
    <n v="0"/>
    <n v="0"/>
    <n v="0"/>
  </r>
  <r>
    <x v="119"/>
    <s v="28/05/2026"/>
    <s v="01/01/2026-28/05/2026"/>
    <x v="0"/>
    <n v="0"/>
    <d v="2026-04-30T00:00:00"/>
    <n v="0"/>
    <n v="0"/>
    <n v="0"/>
    <n v="0"/>
    <n v="0"/>
    <n v="0"/>
  </r>
  <r>
    <x v="120"/>
    <s v="28/05/2026"/>
    <s v="01/01/2026-28/05/2026"/>
    <x v="0"/>
    <n v="0"/>
    <d v="2026-05-01T00:00:00"/>
    <n v="0"/>
    <n v="0"/>
    <n v="0"/>
    <n v="0"/>
    <n v="0"/>
    <n v="0"/>
  </r>
  <r>
    <x v="121"/>
    <s v="28/05/2026"/>
    <s v="01/01/2026-28/05/2026"/>
    <x v="0"/>
    <n v="0"/>
    <d v="2026-05-02T00:00:00"/>
    <n v="0"/>
    <n v="0"/>
    <n v="0"/>
    <n v="0"/>
    <n v="0"/>
    <n v="0"/>
  </r>
  <r>
    <x v="122"/>
    <s v="28/05/2026"/>
    <s v="01/01/2026-28/05/2026"/>
    <x v="0"/>
    <n v="0"/>
    <d v="2026-05-03T00:00:00"/>
    <n v="0"/>
    <n v="0"/>
    <n v="0"/>
    <n v="0"/>
    <n v="0"/>
    <n v="0"/>
  </r>
  <r>
    <x v="123"/>
    <s v="28/05/2026"/>
    <s v="01/01/2026-28/05/2026"/>
    <x v="0"/>
    <n v="0"/>
    <d v="2026-05-04T00:00:00"/>
    <n v="0"/>
    <n v="0"/>
    <n v="0"/>
    <n v="0"/>
    <n v="0"/>
    <n v="0"/>
  </r>
  <r>
    <x v="124"/>
    <s v="28/05/2026"/>
    <s v="01/01/2026-28/05/2026"/>
    <x v="0"/>
    <n v="0"/>
    <d v="2026-05-05T00:00:00"/>
    <n v="0"/>
    <n v="0"/>
    <n v="0"/>
    <n v="0"/>
    <n v="0"/>
    <n v="0"/>
  </r>
  <r>
    <x v="125"/>
    <s v="28/05/2026"/>
    <s v="01/01/2026-28/05/2026"/>
    <x v="0"/>
    <n v="0"/>
    <d v="2026-05-06T00:00:00"/>
    <n v="0"/>
    <n v="0"/>
    <n v="0"/>
    <n v="0"/>
    <n v="0"/>
    <n v="0"/>
  </r>
  <r>
    <x v="126"/>
    <s v="28/05/2026"/>
    <s v="01/01/2026-28/05/2026"/>
    <x v="0"/>
    <n v="0"/>
    <d v="2026-05-07T00:00:00"/>
    <n v="0"/>
    <n v="0"/>
    <n v="0"/>
    <n v="0"/>
    <n v="0"/>
    <n v="0"/>
  </r>
  <r>
    <x v="127"/>
    <s v="28/05/2026"/>
    <s v="01/01/2026-28/05/2026"/>
    <x v="0"/>
    <n v="0"/>
    <d v="2026-05-08T00:00:00"/>
    <n v="0"/>
    <n v="0"/>
    <n v="0"/>
    <n v="0"/>
    <n v="0"/>
    <n v="0"/>
  </r>
  <r>
    <x v="128"/>
    <s v="28/05/2026"/>
    <s v="01/01/2026-28/05/2026"/>
    <x v="0"/>
    <n v="0"/>
    <d v="2026-05-09T00:00:00"/>
    <n v="0"/>
    <n v="0"/>
    <n v="0"/>
    <n v="0"/>
    <n v="0"/>
    <n v="0"/>
  </r>
  <r>
    <x v="129"/>
    <s v="28/05/2026"/>
    <s v="01/01/2026-28/05/2026"/>
    <x v="0"/>
    <n v="0"/>
    <d v="2026-05-10T00:00:00"/>
    <n v="0"/>
    <n v="0"/>
    <n v="0"/>
    <n v="0"/>
    <n v="0"/>
    <n v="0"/>
  </r>
  <r>
    <x v="130"/>
    <s v="28/05/2026"/>
    <s v="01/01/2026-28/05/2026"/>
    <x v="0"/>
    <n v="0"/>
    <d v="2026-05-11T00:00:00"/>
    <n v="0"/>
    <n v="0"/>
    <n v="0"/>
    <n v="0"/>
    <n v="0"/>
    <n v="0"/>
  </r>
  <r>
    <x v="131"/>
    <s v="28/05/2026"/>
    <s v="01/01/2026-28/05/2026"/>
    <x v="0"/>
    <n v="0"/>
    <d v="2026-05-12T00:00:00"/>
    <n v="0"/>
    <n v="0"/>
    <n v="0"/>
    <n v="0"/>
    <n v="0"/>
    <n v="0"/>
  </r>
  <r>
    <x v="132"/>
    <s v="28/05/2026"/>
    <s v="01/01/2026-28/05/2026"/>
    <x v="0"/>
    <n v="0"/>
    <d v="2026-05-13T00:00:00"/>
    <n v="0"/>
    <n v="0"/>
    <n v="0"/>
    <n v="0"/>
    <n v="0"/>
    <n v="0"/>
  </r>
  <r>
    <x v="133"/>
    <s v="28/05/2026"/>
    <s v="01/01/2026-28/05/2026"/>
    <x v="0"/>
    <n v="0"/>
    <d v="2026-05-14T00:00:00"/>
    <n v="0"/>
    <n v="0"/>
    <n v="0"/>
    <n v="0"/>
    <n v="0"/>
    <n v="0"/>
  </r>
  <r>
    <x v="134"/>
    <s v="28/05/2026"/>
    <s v="01/01/2026-28/05/2026"/>
    <x v="0"/>
    <n v="0"/>
    <d v="2026-05-15T00:00:00"/>
    <n v="0"/>
    <n v="0"/>
    <n v="0"/>
    <n v="0"/>
    <n v="0"/>
    <n v="0"/>
  </r>
  <r>
    <x v="135"/>
    <s v="28/05/2026"/>
    <s v="01/01/2026-28/05/2026"/>
    <x v="0"/>
    <n v="0"/>
    <d v="2026-05-16T00:00:00"/>
    <n v="0"/>
    <n v="0"/>
    <n v="0"/>
    <n v="0"/>
    <n v="0"/>
    <n v="0"/>
  </r>
  <r>
    <x v="136"/>
    <s v="28/05/2026"/>
    <s v="01/01/2026-28/05/2026"/>
    <x v="0"/>
    <n v="0"/>
    <d v="2026-05-17T00:00:00"/>
    <n v="0"/>
    <n v="0"/>
    <n v="0"/>
    <n v="0"/>
    <n v="0"/>
    <n v="0"/>
  </r>
  <r>
    <x v="137"/>
    <s v="28/05/2026"/>
    <s v="01/01/2026-28/05/2026"/>
    <x v="0"/>
    <n v="0"/>
    <d v="2026-05-18T00:00:00"/>
    <n v="0"/>
    <n v="0"/>
    <n v="0"/>
    <n v="0"/>
    <n v="0"/>
    <n v="0"/>
  </r>
  <r>
    <x v="138"/>
    <s v="28/05/2026"/>
    <s v="01/01/2026-28/05/2026"/>
    <x v="0"/>
    <n v="0"/>
    <d v="2026-05-19T00:00:00"/>
    <n v="0"/>
    <n v="0"/>
    <n v="0"/>
    <n v="0"/>
    <n v="0"/>
    <n v="0"/>
  </r>
  <r>
    <x v="139"/>
    <s v="28/05/2026"/>
    <s v="01/01/2026-28/05/2026"/>
    <x v="0"/>
    <n v="0"/>
    <d v="2026-05-20T00:00:00"/>
    <n v="0"/>
    <n v="0"/>
    <n v="0"/>
    <n v="0"/>
    <n v="0"/>
    <n v="0"/>
  </r>
  <r>
    <x v="140"/>
    <s v="28/05/2026"/>
    <s v="01/01/2026-28/05/2026"/>
    <x v="0"/>
    <n v="200000"/>
    <d v="2026-05-21T00:00:00"/>
    <n v="6"/>
    <n v="1200000"/>
    <n v="1200000"/>
    <n v="0"/>
    <n v="1200000"/>
    <n v="0"/>
  </r>
  <r>
    <x v="141"/>
    <s v="28/05/2026"/>
    <s v="01/01/2026-28/05/2026"/>
    <x v="0"/>
    <n v="0"/>
    <d v="2026-05-22T00:00:00"/>
    <n v="0"/>
    <n v="0"/>
    <n v="0"/>
    <n v="0"/>
    <n v="0"/>
    <n v="0"/>
  </r>
  <r>
    <x v="142"/>
    <s v="28/05/2026"/>
    <s v="01/01/2026-28/05/2026"/>
    <x v="0"/>
    <n v="0"/>
    <d v="2026-05-23T00:00:00"/>
    <n v="0"/>
    <n v="0"/>
    <n v="0"/>
    <n v="0"/>
    <n v="0"/>
    <n v="0"/>
  </r>
  <r>
    <x v="143"/>
    <s v="28/05/2026"/>
    <s v="01/01/2026-28/05/2026"/>
    <x v="0"/>
    <n v="0"/>
    <d v="2026-05-24T00:00:00"/>
    <n v="0"/>
    <n v="0"/>
    <n v="0"/>
    <n v="0"/>
    <n v="0"/>
    <n v="0"/>
  </r>
  <r>
    <x v="144"/>
    <s v="28/05/2026"/>
    <s v="01/01/2026-28/05/2026"/>
    <x v="0"/>
    <n v="0"/>
    <d v="2026-05-25T00:00:00"/>
    <n v="0"/>
    <n v="0"/>
    <n v="0"/>
    <n v="0"/>
    <n v="0"/>
    <n v="0"/>
  </r>
  <r>
    <x v="145"/>
    <s v="28/05/2026"/>
    <s v="01/01/2026-28/05/2026"/>
    <x v="0"/>
    <n v="0"/>
    <d v="2026-05-26T00:00:00"/>
    <n v="0"/>
    <n v="0"/>
    <n v="0"/>
    <n v="0"/>
    <n v="0"/>
    <n v="0"/>
  </r>
  <r>
    <x v="146"/>
    <s v="28/05/2026"/>
    <s v="01/01/2026-28/05/2026"/>
    <x v="0"/>
    <n v="0"/>
    <d v="2026-05-27T00:00:00"/>
    <n v="0"/>
    <n v="0"/>
    <n v="0"/>
    <n v="0"/>
    <n v="0"/>
    <n v="0"/>
  </r>
  <r>
    <x v="147"/>
    <s v="28/05/2026"/>
    <s v="01/01/2026-28/05/2026"/>
    <x v="0"/>
    <n v="0"/>
    <d v="2026-05-28T00:00:0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9EF9C-FD38-4854-A76A-7B2193DB6758}" name="PivotTable3" cacheId="27" applyNumberFormats="0" applyBorderFormats="0" applyFontFormats="0" applyPatternFormats="0" applyAlignmentFormats="0" applyWidthHeightFormats="1" dataCaption="Values" grandTotalCaption="Total " updatedVersion="8" minRefreshableVersion="3" showDrill="0" useAutoFormatting="1" rowGrandTotals="0" itemPrintTitles="1" createdVersion="8" indent="0" outline="1" outlineData="1" multipleFieldFilters="0" rowHeaderCaption="Date" colHeaderCaption="Campaigns">
  <location ref="A4:O154" firstHeaderRow="1" firstDataRow="3" firstDataCol="1"/>
  <pivotFields count="16">
    <pivotField axis="axisRow" numFmtId="14" showAll="0">
      <items count="149"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showAll="0"/>
    <pivotField axis="axisCol" showAll="0">
      <items count="10">
        <item m="1" x="8"/>
        <item m="1" x="4"/>
        <item m="1" x="6"/>
        <item m="1" x="7"/>
        <item m="1" x="3"/>
        <item m="1" x="5"/>
        <item m="1" x="1"/>
        <item x="0"/>
        <item m="1" x="2"/>
        <item t="default"/>
      </items>
    </pivotField>
    <pivotField dataField="1" numFmtId="3" showAll="0"/>
    <pivotField numFmtId="14" showAll="0"/>
    <pivotField dataField="1" numFmtId="1" showAll="0"/>
    <pivotField dataField="1" numFmtId="3" showAll="0"/>
    <pivotField dataField="1" numFmtId="3" showAll="0"/>
    <pivotField dataField="1" numFmtId="3" showAll="0"/>
    <pivotField numFmtId="3" showAll="0"/>
    <pivotField numFmtId="3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1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</rowItems>
  <colFields count="2">
    <field x="3"/>
    <field x="-2"/>
  </colFields>
  <colItems count="14">
    <i>
      <x v="7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dataFields count="7">
    <dataField name=" Denomination" fld="4" baseField="0" baseItem="0" numFmtId="3"/>
    <dataField name="Qty " fld="6" baseField="0" baseItem="0" numFmtId="1"/>
    <dataField name="Total " fld="7" baseField="0" baseItem="0" numFmtId="3"/>
    <dataField name="ActualHCM" fld="8" baseField="0" baseItem="0" numFmtId="3"/>
    <dataField name="ActualHN" fld="9" baseField="0" baseItem="0" numFmtId="3"/>
    <dataField name="HCM +  HN" fld="14" baseField="0" baseItem="0" numFmtId="3"/>
    <dataField name=" Variance " fld="15" baseField="0" baseItem="0" numFmtId="3"/>
  </dataFields>
  <formats count="91">
    <format dxfId="272">
      <pivotArea type="all" dataOnly="0" outline="0" fieldPosition="0"/>
    </format>
    <format dxfId="271">
      <pivotArea outline="0" collapsedLevelsAreSubtotals="1" fieldPosition="0"/>
    </format>
    <format dxfId="270">
      <pivotArea type="topRight" dataOnly="0" labelOnly="1" outline="0" fieldPosition="0"/>
    </format>
    <format dxfId="269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68">
      <pivotArea dataOnly="0" labelOnly="1" fieldPosition="0">
        <references count="1">
          <reference field="0" count="11">
            <x v="50"/>
            <x v="51"/>
            <x v="52"/>
            <x v="53"/>
            <x v="54"/>
            <x v="55"/>
            <x v="56"/>
            <x v="57"/>
            <x v="58"/>
            <x v="59"/>
            <x v="60"/>
          </reference>
        </references>
      </pivotArea>
    </format>
    <format dxfId="267">
      <pivotArea dataOnly="0" labelOnly="1" grandRow="1" outline="0" fieldPosition="0"/>
    </format>
    <format dxfId="266">
      <pivotArea dataOnly="0" labelOnly="1" fieldPosition="0">
        <references count="1">
          <reference field="3" count="0"/>
        </references>
      </pivotArea>
    </format>
    <format dxfId="265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3" count="1" selected="0">
            <x v="0"/>
          </reference>
        </references>
      </pivotArea>
    </format>
    <format dxfId="264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3" count="1" selected="0">
            <x v="1"/>
          </reference>
        </references>
      </pivotArea>
    </format>
    <format dxfId="263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3" count="1" selected="0">
            <x v="2"/>
          </reference>
        </references>
      </pivotArea>
    </format>
    <format dxfId="262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3" count="1" selected="0">
            <x v="3"/>
          </reference>
        </references>
      </pivotArea>
    </format>
    <format dxfId="261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3" count="1" selected="0">
            <x v="4"/>
          </reference>
        </references>
      </pivotArea>
    </format>
    <format dxfId="260">
      <pivotArea type="topRight" dataOnly="0" labelOnly="1" outline="0" offset="B1:W1" fieldPosition="0"/>
    </format>
    <format dxfId="259">
      <pivotArea dataOnly="0" labelOnly="1" offset="D256:IV256" fieldPosition="0">
        <references count="1">
          <reference field="3" count="1">
            <x v="0"/>
          </reference>
        </references>
      </pivotArea>
    </format>
    <format dxfId="258">
      <pivotArea dataOnly="0" labelOnly="1" fieldPosition="0">
        <references count="1">
          <reference field="3" count="4">
            <x v="1"/>
            <x v="2"/>
            <x v="3"/>
            <x v="4"/>
          </reference>
        </references>
      </pivotArea>
    </format>
    <format dxfId="257">
      <pivotArea dataOnly="0" labelOnly="1" outline="0" fieldPosition="0">
        <references count="2">
          <reference field="4294967294" count="2">
            <x v="3"/>
            <x v="4"/>
          </reference>
          <reference field="3" count="1" selected="0">
            <x v="0"/>
          </reference>
        </references>
      </pivotArea>
    </format>
    <format dxfId="256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3" count="1" selected="0">
            <x v="1"/>
          </reference>
        </references>
      </pivotArea>
    </format>
    <format dxfId="255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3" count="1" selected="0">
            <x v="2"/>
          </reference>
        </references>
      </pivotArea>
    </format>
    <format dxfId="254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3" count="1" selected="0">
            <x v="3"/>
          </reference>
        </references>
      </pivotArea>
    </format>
    <format dxfId="253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3" count="1" selected="0">
            <x v="4"/>
          </reference>
        </references>
      </pivotArea>
    </format>
    <format dxfId="252">
      <pivotArea type="origin" dataOnly="0" labelOnly="1" outline="0" fieldPosition="0"/>
    </format>
    <format dxfId="251">
      <pivotArea field="3" type="button" dataOnly="0" labelOnly="1" outline="0" axis="axisCol" fieldPosition="0"/>
    </format>
    <format dxfId="250">
      <pivotArea field="-2" type="button" dataOnly="0" labelOnly="1" outline="0" axis="axisCol" fieldPosition="1"/>
    </format>
    <format dxfId="249">
      <pivotArea type="topRight" dataOnly="0" labelOnly="1" outline="0" offset="A1" fieldPosition="0"/>
    </format>
    <format dxfId="248">
      <pivotArea field="0" type="button" dataOnly="0" labelOnly="1" outline="0" axis="axisRow" fieldPosition="0"/>
    </format>
    <format dxfId="247">
      <pivotArea dataOnly="0" labelOnly="1" offset="A256:C256" fieldPosition="0">
        <references count="1">
          <reference field="3" count="1">
            <x v="0"/>
          </reference>
        </references>
      </pivotArea>
    </format>
    <format dxfId="24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0"/>
          </reference>
        </references>
      </pivotArea>
    </format>
    <format dxfId="245">
      <pivotArea type="origin" dataOnly="0" labelOnly="1" outline="0" fieldPosition="0"/>
    </format>
    <format dxfId="244">
      <pivotArea field="3" type="button" dataOnly="0" labelOnly="1" outline="0" axis="axisCol" fieldPosition="0"/>
    </format>
    <format dxfId="243">
      <pivotArea field="-2" type="button" dataOnly="0" labelOnly="1" outline="0" axis="axisCol" fieldPosition="1"/>
    </format>
    <format dxfId="242">
      <pivotArea type="topRight" dataOnly="0" labelOnly="1" outline="0" fieldPosition="0"/>
    </format>
    <format dxfId="241">
      <pivotArea field="0" type="button" dataOnly="0" labelOnly="1" outline="0" axis="axisRow" fieldPosition="0"/>
    </format>
    <format dxfId="240">
      <pivotArea dataOnly="0" labelOnly="1" fieldPosition="0">
        <references count="1">
          <reference field="3" count="0"/>
        </references>
      </pivotArea>
    </format>
    <format dxfId="239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3" count="1" selected="0">
            <x v="0"/>
          </reference>
        </references>
      </pivotArea>
    </format>
    <format dxfId="238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3" count="1" selected="0">
            <x v="1"/>
          </reference>
        </references>
      </pivotArea>
    </format>
    <format dxfId="237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3" count="1" selected="0">
            <x v="2"/>
          </reference>
        </references>
      </pivotArea>
    </format>
    <format dxfId="236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3" count="1" selected="0">
            <x v="3"/>
          </reference>
        </references>
      </pivotArea>
    </format>
    <format dxfId="235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3" count="1" selected="0">
            <x v="4"/>
          </reference>
        </references>
      </pivotArea>
    </format>
    <format dxfId="234">
      <pivotArea type="topRight" dataOnly="0" labelOnly="1" outline="0" offset="X1:AB1" fieldPosition="0"/>
    </format>
    <format dxfId="233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32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31">
      <pivotArea field="3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230">
      <pivotArea field="3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229">
      <pivotArea field="3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228">
      <pivotArea type="origin" dataOnly="0" labelOnly="1" outline="0" fieldPosition="0"/>
    </format>
    <format dxfId="227">
      <pivotArea field="3" type="button" dataOnly="0" labelOnly="1" outline="0" axis="axisCol" fieldPosition="0"/>
    </format>
    <format dxfId="226">
      <pivotArea field="-2" type="button" dataOnly="0" labelOnly="1" outline="0" axis="axisCol" fieldPosition="1"/>
    </format>
    <format dxfId="225">
      <pivotArea type="topRight" dataOnly="0" labelOnly="1" outline="0" fieldPosition="0"/>
    </format>
    <format dxfId="224">
      <pivotArea field="0" type="button" dataOnly="0" labelOnly="1" outline="0" axis="axisRow" fieldPosition="0"/>
    </format>
    <format dxfId="223">
      <pivotArea dataOnly="0" labelOnly="1" fieldPosition="0">
        <references count="1">
          <reference field="3" count="0"/>
        </references>
      </pivotArea>
    </format>
    <format dxfId="222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21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20">
      <pivotArea field="3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219">
      <pivotArea field="3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218">
      <pivotArea field="3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217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3" count="1" selected="0">
            <x v="1"/>
          </reference>
        </references>
      </pivotArea>
    </format>
    <format dxfId="216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3" count="1" selected="0">
            <x v="2"/>
          </reference>
        </references>
      </pivotArea>
    </format>
    <format dxfId="215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3" count="1" selected="0">
            <x v="3"/>
          </reference>
        </references>
      </pivotArea>
    </format>
    <format dxfId="214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3" count="1" selected="0">
            <x v="4"/>
          </reference>
        </references>
      </pivotArea>
    </format>
    <format dxfId="213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3" count="1" selected="0">
            <x v="5"/>
          </reference>
        </references>
      </pivotArea>
    </format>
    <format dxfId="212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1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0">
      <pivotArea field="3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209">
      <pivotArea field="3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208">
      <pivotArea field="3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193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92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91">
      <pivotArea field="3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90">
      <pivotArea field="3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89">
      <pivotArea field="3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188">
      <pivotArea field="3" dataOnly="0" labelOnly="1" grandCol="1" outline="0" axis="axisCol" fieldPosition="0">
        <references count="1">
          <reference field="4294967294" count="1" selected="0">
            <x v="5"/>
          </reference>
        </references>
      </pivotArea>
    </format>
    <format dxfId="187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86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85">
      <pivotArea field="3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84">
      <pivotArea field="3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83">
      <pivotArea field="3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182">
      <pivotArea field="3" dataOnly="0" labelOnly="1" grandCol="1" outline="0" axis="axisCol" fieldPosition="0">
        <references count="1">
          <reference field="4294967294" count="1" selected="0">
            <x v="5"/>
          </reference>
        </references>
      </pivotArea>
    </format>
    <format dxfId="181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80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9">
      <pivotArea field="3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78">
      <pivotArea field="3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77">
      <pivotArea field="3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176">
      <pivotArea field="3" dataOnly="0" labelOnly="1" grandCol="1" outline="0" axis="axisCol" fieldPosition="0">
        <references count="1">
          <reference field="4294967294" count="1" selected="0">
            <x v="5"/>
          </reference>
        </references>
      </pivotArea>
    </format>
    <format dxfId="175">
      <pivotArea field="3" dataOnly="0" labelOnly="1" grandCol="1" outline="0" axis="axisCol" fieldPosition="0">
        <references count="1">
          <reference field="4294967294" count="1" selected="0">
            <x v="6"/>
          </reference>
        </references>
      </pivotArea>
    </format>
    <format dxfId="6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">
      <pivotArea field="3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3">
      <pivotArea field="3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2">
      <pivotArea field="3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1">
      <pivotArea field="3" dataOnly="0" labelOnly="1" grandCol="1" outline="0" axis="axisCol" fieldPosition="0">
        <references count="1">
          <reference field="4294967294" count="1" selected="0">
            <x v="5"/>
          </reference>
        </references>
      </pivotArea>
    </format>
    <format dxfId="0">
      <pivotArea field="3" dataOnly="0" labelOnly="1" grandCol="1" outline="0" axis="axisCol" fieldPosition="0">
        <references count="1">
          <reference field="4294967294" count="1" selected="0">
            <x v="6"/>
          </reference>
        </references>
      </pivotArea>
    </format>
  </formats>
  <pivotTableStyleInfo name="PivotStyleMedium5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2" name="Data" displayName="Data" ref="A1:L149" totalsRowShown="0" headerRowDxfId="207" dataDxfId="206" xr:uid="{5431F6CA-1AB6-4626-B6D3-2BF5D0D46F40}" mc:Ignorable="xr xr3">
  <x:autoFilter ref="A1:L149" xr:uid="{00000000-0009-0000-0100-000002000000}"/>
  <x:tableColumns count="12">
    <x:tableColumn id="7" name="ReportDate" dataDxfId="205" xr3:uid="{80399458-D196-4C44-A79D-4F4031E73A76}"/>
    <x:tableColumn id="1" name="DatePrint" dataDxfId="204" xr3:uid="{5EF86DA7-219F-456C-B741-5435D2EC6D6A}"/>
    <x:tableColumn id="13" name="DateTarget" dataDxfId="203" xr3:uid="{C1C7B0E0-F1BD-4975-B740-19A66D19C513}"/>
    <x:tableColumn id="2" name="CampaignName" dataDxfId="202" xr3:uid="{CF3D3AC5-D9C3-4854-80E7-1B150D46D559}"/>
    <x:tableColumn id="3" name="Denomination" dataDxfId="201" xr3:uid="{25496FB2-FB42-4F38-A22B-5DCA4F7A7CA4}"/>
    <x:tableColumn id="4" name="DateActived" dataDxfId="200" xr3:uid="{16054DDA-87EB-4E4B-B7C2-DD7B27DF3613}"/>
    <x:tableColumn id="5" name="Qty" dataDxfId="199" xr3:uid="{372B32A6-995E-4ADD-88E1-F0FB23C4FB30}"/>
    <x:tableColumn id="6" name="Total" dataDxfId="198" xr3:uid="{907409C6-6C8F-4279-892D-1C158EE9B5DA}"/>
    <x:tableColumn id="8" name="HCM" dataDxfId="197" xr3:uid="{73868575-F7A3-4F49-AABD-C013D96A232F}"/>
    <x:tableColumn id="9" name="HN" dataDxfId="196" xr3:uid="{2A4AAD52-E7B5-4C4C-A967-BFC9A44D9B03}"/>
    <x:tableColumn id="10" name="All" dataDxfId="195" xr3:uid="{4D9887A7-CC66-4569-B543-FB3A8E49A12A}"/>
    <x:tableColumn id="11" name="Variance" dataDxfId="194" xr3:uid="{37846808-D531-45A7-9378-6F714F9D2F44}"/>
  </x:tableColumns>
  <x:tableStyleInfo name="TableStyleLight1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ortMetadataValues" displayName="ReportMetadataValues" ref="A1:B10" totalsRowShown="0">
  <autoFilter ref="A1:B10" xr:uid="{00000000-0009-0000-0100-000003000000}"/>
  <tableColumns count="2">
    <tableColumn id="1" xr3:uid="{00000000-0010-0000-0100-000001000000}" name="Report Property"/>
    <tableColumn id="2" xr3:uid="{00000000-0010-0000-0100-000002000000}" name="Report Property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portRequestValues" displayName="ReportRequestValues" ref="D1:E10" totalsRowShown="0">
  <autoFilter ref="D1:E10" xr:uid="{00000000-0009-0000-0100-000004000000}"/>
  <tableColumns count="2">
    <tableColumn id="1" xr3:uid="{00000000-0010-0000-0200-000001000000}" name="Request Property"/>
    <tableColumn id="2" xr3:uid="{00000000-0010-0000-0200-000002000000}" name="Request Property 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portRequestPageValues" displayName="ReportRequestPageValues" ref="G1:H4" totalsRowShown="0">
  <autoFilter ref="G1:H4" xr:uid="{00000000-0009-0000-0100-000005000000}"/>
  <tableColumns count="2">
    <tableColumn id="1" xr3:uid="{00000000-0010-0000-0300-000001000000}" name="Request Page Option"/>
    <tableColumn id="2" xr3:uid="{00000000-0010-0000-0300-000002000000}" name="Request Page Option 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portFilterValues" displayName="ReportFilterValues" ref="J1:K2" totalsRowShown="0">
  <autoFilter ref="J1:K2" xr:uid="{00000000-0009-0000-0100-000006000000}"/>
  <tableColumns count="2">
    <tableColumn id="1" xr3:uid="{00000000-0010-0000-0400-000001000000}" name="Filter"/>
    <tableColumn id="2" xr3:uid="{00000000-0010-0000-0400-000002000000}" name="Filter 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ranslationData" displayName="TranslationData" ref="A1:C2" totalsRowShown="0">
  <autoFilter ref="A1:C2" xr:uid="{00000000-0009-0000-0100-000007000000}"/>
  <tableColumns count="3">
    <tableColumn id="1" xr3:uid="{00000000-0010-0000-0600-000001000000}" name="CaptionKey"/>
    <tableColumn id="2" xr3:uid="{00000000-0010-0000-0600-000002000000}" name="Language"/>
    <tableColumn id="3" xr3:uid="{00000000-0010-0000-0600-000003000000}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CaptionData" displayName="CaptionData" ref="A1:B2" totalsRowShown="0">
  <autoFilter ref="A1:B2" xr:uid="{00000000-0009-0000-0100-000001000000}"/>
  <tableColumns count="2">
    <tableColumn id="1" xr3:uid="{00000000-0010-0000-0600-000001000000}" name="Caption"/>
    <tableColumn id="2" xr3:uid="{00000000-0010-0000-06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4AA2E-D318-4F88-B8BB-E78EDDFA0A50}">
  <dimension ref="A1:BM201"/>
  <sheetViews>
    <sheetView tabSelected="1" zoomScale="85" zoomScaleNormal="85" workbookViewId="0">
      <selection activeCell="L18" sqref="L18"/>
    </sheetView>
  </sheetViews>
  <sheetFormatPr defaultRowHeight="15" x14ac:dyDescent="0.25"/>
  <cols>
    <col min="1" max="1" width="9.5703125" bestFit="1" customWidth="1"/>
    <col min="2" max="2" width="14.140625" bestFit="1" customWidth="1"/>
    <col min="3" max="3" width="4.28515625" bestFit="1" customWidth="1"/>
    <col min="4" max="4" width="9.28515625" bestFit="1" customWidth="1"/>
    <col min="5" max="5" width="10.5703125" bestFit="1" customWidth="1"/>
    <col min="6" max="6" width="9.28515625" bestFit="1" customWidth="1"/>
    <col min="7" max="7" width="10" customWidth="1"/>
    <col min="8" max="8" width="9.7109375" bestFit="1" customWidth="1"/>
    <col min="9" max="9" width="19.42578125" bestFit="1" customWidth="1"/>
    <col min="10" max="10" width="9.42578125" bestFit="1" customWidth="1"/>
    <col min="11" max="11" width="10.7109375" bestFit="1" customWidth="1"/>
    <col min="12" max="12" width="16" bestFit="1" customWidth="1"/>
    <col min="13" max="13" width="14.42578125" bestFit="1" customWidth="1"/>
    <col min="14" max="14" width="15.5703125" bestFit="1" customWidth="1"/>
    <col min="15" max="15" width="14.5703125" bestFit="1" customWidth="1"/>
    <col min="16" max="16" width="19.140625" bestFit="1" customWidth="1"/>
    <col min="17" max="17" width="9.140625" bestFit="1" customWidth="1"/>
    <col min="18" max="18" width="10.7109375" bestFit="1" customWidth="1"/>
    <col min="19" max="19" width="15.5703125" bestFit="1" customWidth="1"/>
    <col min="20" max="20" width="14.28515625" bestFit="1" customWidth="1"/>
    <col min="21" max="21" width="5.85546875" bestFit="1" customWidth="1"/>
    <col min="22" max="22" width="10.5703125" bestFit="1" customWidth="1"/>
    <col min="23" max="23" width="9.28515625" bestFit="1" customWidth="1"/>
    <col min="24" max="24" width="19.140625" bestFit="1" customWidth="1"/>
    <col min="26" max="26" width="10.7109375" bestFit="1" customWidth="1"/>
    <col min="27" max="27" width="15.5703125" bestFit="1" customWidth="1"/>
    <col min="28" max="28" width="14.28515625" bestFit="1" customWidth="1"/>
  </cols>
  <sheetData>
    <row r="1" spans="1:65" ht="21.75" customHeight="1" x14ac:dyDescent="0.25">
      <c r="A1" s="15" t="str">
        <f>"Print Date: "&amp;Data!B2</f>
        <v>Print Date: 28/05/2026</v>
      </c>
      <c r="B1" s="15"/>
      <c r="C1" s="15"/>
      <c r="D1" s="15"/>
      <c r="E1" s="14" t="s">
        <v>60</v>
      </c>
      <c r="F1" s="14"/>
      <c r="G1" s="14"/>
      <c r="H1" s="14"/>
      <c r="I1" s="14"/>
      <c r="J1" s="1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</row>
    <row r="2" spans="1:65" ht="17.25" customHeight="1" x14ac:dyDescent="0.25">
      <c r="A2" s="15" t="str">
        <f>"Target Date: "&amp;Data[[#This Row],[DateTarget]]</f>
        <v>Target Date: 01/01/2026-28/05/2026</v>
      </c>
      <c r="B2" s="15"/>
      <c r="C2" s="15"/>
      <c r="D2" s="15"/>
      <c r="E2" s="14"/>
      <c r="F2" s="14"/>
      <c r="G2" s="14"/>
      <c r="H2" s="14"/>
      <c r="I2" s="14"/>
      <c r="J2" s="1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</row>
    <row r="4" spans="1:65" s="6" customFormat="1" x14ac:dyDescent="0.25">
      <c r="A4" s="17"/>
      <c r="B4" s="17" t="s">
        <v>59</v>
      </c>
      <c r="C4" s="17"/>
      <c r="D4" s="1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/>
      <c r="Q4"/>
      <c r="R4"/>
      <c r="S4"/>
      <c r="T4"/>
      <c r="U4"/>
      <c r="V4"/>
      <c r="W4"/>
      <c r="X4"/>
      <c r="Y4"/>
      <c r="Z4"/>
      <c r="AA4"/>
      <c r="AB4"/>
    </row>
    <row r="5" spans="1:65" s="6" customFormat="1" x14ac:dyDescent="0.25">
      <c r="A5" s="17"/>
      <c r="B5" s="8" t="s">
        <v>70</v>
      </c>
      <c r="C5" s="8"/>
      <c r="D5" s="8"/>
      <c r="E5" s="8"/>
      <c r="F5" s="8"/>
      <c r="G5" s="8"/>
      <c r="H5" s="8"/>
      <c r="I5" s="18" t="s">
        <v>63</v>
      </c>
      <c r="J5" s="18" t="s">
        <v>64</v>
      </c>
      <c r="K5" s="18" t="s">
        <v>65</v>
      </c>
      <c r="L5" s="18" t="s">
        <v>66</v>
      </c>
      <c r="M5" s="18" t="s">
        <v>67</v>
      </c>
      <c r="N5" s="18" t="s">
        <v>75</v>
      </c>
      <c r="O5" s="20" t="s">
        <v>77</v>
      </c>
      <c r="P5"/>
      <c r="Q5"/>
      <c r="R5"/>
      <c r="S5"/>
      <c r="T5"/>
      <c r="U5"/>
      <c r="V5"/>
      <c r="W5"/>
      <c r="X5"/>
      <c r="Y5"/>
      <c r="Z5"/>
      <c r="AA5"/>
      <c r="AB5"/>
    </row>
    <row r="6" spans="1:65" s="6" customFormat="1" x14ac:dyDescent="0.25">
      <c r="A6" s="17" t="s">
        <v>48</v>
      </c>
      <c r="B6" s="9" t="s">
        <v>54</v>
      </c>
      <c r="C6" s="9" t="s">
        <v>55</v>
      </c>
      <c r="D6" s="9" t="s">
        <v>56</v>
      </c>
      <c r="E6" s="9" t="s">
        <v>57</v>
      </c>
      <c r="F6" s="9" t="s">
        <v>58</v>
      </c>
      <c r="G6" s="9" t="s">
        <v>76</v>
      </c>
      <c r="H6" s="9" t="s">
        <v>78</v>
      </c>
      <c r="I6" s="18"/>
      <c r="J6" s="18"/>
      <c r="K6" s="18"/>
      <c r="L6" s="18"/>
      <c r="M6" s="18"/>
      <c r="N6" s="18"/>
      <c r="O6" s="19"/>
      <c r="P6"/>
      <c r="Q6"/>
      <c r="R6"/>
      <c r="S6"/>
      <c r="T6"/>
      <c r="U6"/>
      <c r="V6"/>
      <c r="W6"/>
      <c r="X6"/>
      <c r="Y6"/>
      <c r="Z6"/>
      <c r="AA6"/>
      <c r="AB6"/>
    </row>
    <row r="7" spans="1:65" x14ac:dyDescent="0.25">
      <c r="A7" s="2">
        <v>46082</v>
      </c>
      <c r="B7" s="3">
        <v>0</v>
      </c>
      <c r="C7" s="4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4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spans="1:65" x14ac:dyDescent="0.25">
      <c r="A8" s="2">
        <v>46083</v>
      </c>
      <c r="B8" s="3">
        <v>0</v>
      </c>
      <c r="C8" s="4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4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65" x14ac:dyDescent="0.25">
      <c r="A9" s="2">
        <v>46084</v>
      </c>
      <c r="B9" s="3">
        <v>0</v>
      </c>
      <c r="C9" s="4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4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spans="1:65" x14ac:dyDescent="0.25">
      <c r="A10" s="2">
        <v>46085</v>
      </c>
      <c r="B10" s="3">
        <v>0</v>
      </c>
      <c r="C10" s="4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4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spans="1:65" x14ac:dyDescent="0.25">
      <c r="A11" s="2">
        <v>46086</v>
      </c>
      <c r="B11" s="3">
        <v>0</v>
      </c>
      <c r="C11" s="4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4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spans="1:65" x14ac:dyDescent="0.25">
      <c r="A12" s="2">
        <v>46087</v>
      </c>
      <c r="B12" s="3">
        <v>0</v>
      </c>
      <c r="C12" s="4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4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spans="1:65" x14ac:dyDescent="0.25">
      <c r="A13" s="2">
        <v>46088</v>
      </c>
      <c r="B13" s="3">
        <v>0</v>
      </c>
      <c r="C13" s="4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4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65" x14ac:dyDescent="0.25">
      <c r="A14" s="2">
        <v>46089</v>
      </c>
      <c r="B14" s="3">
        <v>0</v>
      </c>
      <c r="C14" s="4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4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65" x14ac:dyDescent="0.25">
      <c r="A15" s="2">
        <v>46090</v>
      </c>
      <c r="B15" s="3">
        <v>0</v>
      </c>
      <c r="C15" s="4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4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65" x14ac:dyDescent="0.25">
      <c r="A16" s="2">
        <v>46091</v>
      </c>
      <c r="B16" s="3">
        <v>0</v>
      </c>
      <c r="C16" s="4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4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spans="1:15" x14ac:dyDescent="0.25">
      <c r="A17" s="2">
        <v>46092</v>
      </c>
      <c r="B17" s="3">
        <v>0</v>
      </c>
      <c r="C17" s="4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4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spans="1:15" x14ac:dyDescent="0.25">
      <c r="A18" s="2">
        <v>46093</v>
      </c>
      <c r="B18" s="3">
        <v>0</v>
      </c>
      <c r="C18" s="4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4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spans="1:15" x14ac:dyDescent="0.25">
      <c r="A19" s="2">
        <v>46094</v>
      </c>
      <c r="B19" s="3">
        <v>0</v>
      </c>
      <c r="C19" s="4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4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spans="1:15" x14ac:dyDescent="0.25">
      <c r="A20" s="2">
        <v>46095</v>
      </c>
      <c r="B20" s="3">
        <v>0</v>
      </c>
      <c r="C20" s="4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4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1:15" x14ac:dyDescent="0.25">
      <c r="A21" s="2">
        <v>46096</v>
      </c>
      <c r="B21" s="3">
        <v>0</v>
      </c>
      <c r="C21" s="4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4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spans="1:15" x14ac:dyDescent="0.25">
      <c r="A22" s="2">
        <v>46097</v>
      </c>
      <c r="B22" s="3">
        <v>0</v>
      </c>
      <c r="C22" s="4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4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1:15" x14ac:dyDescent="0.25">
      <c r="A23" s="2">
        <v>46098</v>
      </c>
      <c r="B23" s="3">
        <v>0</v>
      </c>
      <c r="C23" s="4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4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spans="1:15" x14ac:dyDescent="0.25">
      <c r="A24" s="2">
        <v>46099</v>
      </c>
      <c r="B24" s="3">
        <v>0</v>
      </c>
      <c r="C24" s="4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4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1:15" x14ac:dyDescent="0.25">
      <c r="A25" s="2">
        <v>46100</v>
      </c>
      <c r="B25" s="3">
        <v>0</v>
      </c>
      <c r="C25" s="4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4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1:15" x14ac:dyDescent="0.25">
      <c r="A26" s="2">
        <v>46101</v>
      </c>
      <c r="B26" s="3">
        <v>0</v>
      </c>
      <c r="C26" s="4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4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spans="1:15" x14ac:dyDescent="0.25">
      <c r="A27" s="2">
        <v>46102</v>
      </c>
      <c r="B27" s="3">
        <v>0</v>
      </c>
      <c r="C27" s="4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4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spans="1:15" x14ac:dyDescent="0.25">
      <c r="A28" s="2">
        <v>46103</v>
      </c>
      <c r="B28" s="3">
        <v>0</v>
      </c>
      <c r="C28" s="4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4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1:15" x14ac:dyDescent="0.25">
      <c r="A29" s="2">
        <v>46104</v>
      </c>
      <c r="B29" s="3">
        <v>0</v>
      </c>
      <c r="C29" s="4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4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1:15" x14ac:dyDescent="0.25">
      <c r="A30" s="2">
        <v>46105</v>
      </c>
      <c r="B30" s="3">
        <v>0</v>
      </c>
      <c r="C30" s="4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4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1:15" x14ac:dyDescent="0.25">
      <c r="A31" s="2">
        <v>46106</v>
      </c>
      <c r="B31" s="3">
        <v>0</v>
      </c>
      <c r="C31" s="4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4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1:15" x14ac:dyDescent="0.25">
      <c r="A32" s="2">
        <v>46107</v>
      </c>
      <c r="B32" s="3">
        <v>0</v>
      </c>
      <c r="C32" s="4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4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1:15" x14ac:dyDescent="0.25">
      <c r="A33" s="2">
        <v>46108</v>
      </c>
      <c r="B33" s="3">
        <v>0</v>
      </c>
      <c r="C33" s="4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4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spans="1:15" x14ac:dyDescent="0.25">
      <c r="A34" s="2">
        <v>46109</v>
      </c>
      <c r="B34" s="3">
        <v>0</v>
      </c>
      <c r="C34" s="4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4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1:15" x14ac:dyDescent="0.25">
      <c r="A35" s="2">
        <v>46110</v>
      </c>
      <c r="B35" s="3">
        <v>0</v>
      </c>
      <c r="C35" s="4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4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spans="1:15" x14ac:dyDescent="0.25">
      <c r="A36" s="2">
        <v>46111</v>
      </c>
      <c r="B36" s="3">
        <v>0</v>
      </c>
      <c r="C36" s="4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4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spans="1:15" x14ac:dyDescent="0.25">
      <c r="A37" s="2">
        <v>46112</v>
      </c>
      <c r="B37" s="3">
        <v>0</v>
      </c>
      <c r="C37" s="4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4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spans="1:15" x14ac:dyDescent="0.25">
      <c r="A38" s="2">
        <v>46113</v>
      </c>
      <c r="B38" s="3">
        <v>0</v>
      </c>
      <c r="C38" s="4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4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spans="1:15" x14ac:dyDescent="0.25">
      <c r="A39" s="2">
        <v>46114</v>
      </c>
      <c r="B39" s="3">
        <v>0</v>
      </c>
      <c r="C39" s="4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4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spans="1:15" x14ac:dyDescent="0.25">
      <c r="A40" s="2">
        <v>46115</v>
      </c>
      <c r="B40" s="3">
        <v>0</v>
      </c>
      <c r="C40" s="4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4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spans="1:15" x14ac:dyDescent="0.25">
      <c r="A41" s="2">
        <v>46116</v>
      </c>
      <c r="B41" s="3">
        <v>0</v>
      </c>
      <c r="C41" s="4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4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spans="1:15" x14ac:dyDescent="0.25">
      <c r="A42" s="2">
        <v>46117</v>
      </c>
      <c r="B42" s="3">
        <v>0</v>
      </c>
      <c r="C42" s="4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4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1:15" x14ac:dyDescent="0.25">
      <c r="A43" s="2">
        <v>46118</v>
      </c>
      <c r="B43" s="3">
        <v>0</v>
      </c>
      <c r="C43" s="4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4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1:15" x14ac:dyDescent="0.25">
      <c r="A44" s="2">
        <v>46119</v>
      </c>
      <c r="B44" s="3">
        <v>0</v>
      </c>
      <c r="C44" s="4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4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1:15" x14ac:dyDescent="0.25">
      <c r="A45" s="2">
        <v>46120</v>
      </c>
      <c r="B45" s="3">
        <v>0</v>
      </c>
      <c r="C45" s="4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4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spans="1:15" x14ac:dyDescent="0.25">
      <c r="A46" s="2">
        <v>46121</v>
      </c>
      <c r="B46" s="3">
        <v>0</v>
      </c>
      <c r="C46" s="4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4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spans="1:15" x14ac:dyDescent="0.25">
      <c r="A47" s="2">
        <v>46122</v>
      </c>
      <c r="B47" s="3">
        <v>0</v>
      </c>
      <c r="C47" s="4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4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1:15" x14ac:dyDescent="0.25">
      <c r="A48" s="2">
        <v>46123</v>
      </c>
      <c r="B48" s="3">
        <v>0</v>
      </c>
      <c r="C48" s="4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4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1:15" x14ac:dyDescent="0.25">
      <c r="A49" s="2">
        <v>46124</v>
      </c>
      <c r="B49" s="3">
        <v>0</v>
      </c>
      <c r="C49" s="4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4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1:15" x14ac:dyDescent="0.25">
      <c r="A50" s="2">
        <v>46125</v>
      </c>
      <c r="B50" s="3">
        <v>0</v>
      </c>
      <c r="C50" s="4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4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1:15" x14ac:dyDescent="0.25">
      <c r="A51" s="2">
        <v>46126</v>
      </c>
      <c r="B51" s="3">
        <v>0</v>
      </c>
      <c r="C51" s="4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4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1:15" x14ac:dyDescent="0.25">
      <c r="A52" s="2">
        <v>46127</v>
      </c>
      <c r="B52" s="3">
        <v>0</v>
      </c>
      <c r="C52" s="4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4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1:15" x14ac:dyDescent="0.25">
      <c r="A53" s="2">
        <v>46128</v>
      </c>
      <c r="B53" s="3">
        <v>0</v>
      </c>
      <c r="C53" s="4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4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1:15" x14ac:dyDescent="0.25">
      <c r="A54" s="2">
        <v>46129</v>
      </c>
      <c r="B54" s="3">
        <v>0</v>
      </c>
      <c r="C54" s="4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4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spans="1:15" x14ac:dyDescent="0.25">
      <c r="A55" s="2">
        <v>46130</v>
      </c>
      <c r="B55" s="3">
        <v>0</v>
      </c>
      <c r="C55" s="4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4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spans="1:15" x14ac:dyDescent="0.25">
      <c r="A56" s="2">
        <v>46131</v>
      </c>
      <c r="B56" s="3">
        <v>0</v>
      </c>
      <c r="C56" s="4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4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spans="1:15" x14ac:dyDescent="0.25">
      <c r="A57" s="2">
        <v>46132</v>
      </c>
      <c r="B57" s="3">
        <v>0</v>
      </c>
      <c r="C57" s="4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4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spans="1:15" x14ac:dyDescent="0.25">
      <c r="A58" s="2">
        <v>46133</v>
      </c>
      <c r="B58" s="3">
        <v>0</v>
      </c>
      <c r="C58" s="4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4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1:15" x14ac:dyDescent="0.25">
      <c r="A59" s="2">
        <v>46134</v>
      </c>
      <c r="B59" s="3">
        <v>0</v>
      </c>
      <c r="C59" s="4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4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spans="1:15" x14ac:dyDescent="0.25">
      <c r="A60" s="2">
        <v>46135</v>
      </c>
      <c r="B60" s="3">
        <v>0</v>
      </c>
      <c r="C60" s="4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4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spans="1:15" x14ac:dyDescent="0.25">
      <c r="A61" s="2">
        <v>46136</v>
      </c>
      <c r="B61" s="3">
        <v>0</v>
      </c>
      <c r="C61" s="4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4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1:15" x14ac:dyDescent="0.25">
      <c r="A62" s="2">
        <v>46137</v>
      </c>
      <c r="B62" s="3">
        <v>0</v>
      </c>
      <c r="C62" s="4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4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1:15" x14ac:dyDescent="0.25">
      <c r="A63" s="2">
        <v>46138</v>
      </c>
      <c r="B63" s="3">
        <v>0</v>
      </c>
      <c r="C63" s="4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4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1:15" x14ac:dyDescent="0.25">
      <c r="A64" s="2">
        <v>46139</v>
      </c>
      <c r="B64" s="3">
        <v>0</v>
      </c>
      <c r="C64" s="4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4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1:15" x14ac:dyDescent="0.25">
      <c r="A65" s="2">
        <v>46140</v>
      </c>
      <c r="B65" s="3">
        <v>0</v>
      </c>
      <c r="C65" s="4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4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1:15" x14ac:dyDescent="0.25">
      <c r="A66" s="2">
        <v>46141</v>
      </c>
      <c r="B66" s="3">
        <v>0</v>
      </c>
      <c r="C66" s="4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4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spans="1:15" x14ac:dyDescent="0.25">
      <c r="A67" s="2">
        <v>46142</v>
      </c>
      <c r="B67" s="3">
        <v>0</v>
      </c>
      <c r="C67" s="4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4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spans="1:15" x14ac:dyDescent="0.25">
      <c r="A68" s="2">
        <v>46023</v>
      </c>
      <c r="B68" s="3">
        <v>0</v>
      </c>
      <c r="C68" s="4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4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1:15" x14ac:dyDescent="0.25">
      <c r="A69" s="2">
        <v>46024</v>
      </c>
      <c r="B69" s="3">
        <v>0</v>
      </c>
      <c r="C69" s="4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4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1:15" x14ac:dyDescent="0.25">
      <c r="A70" s="2">
        <v>46025</v>
      </c>
      <c r="B70" s="3">
        <v>0</v>
      </c>
      <c r="C70" s="4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4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1:15" x14ac:dyDescent="0.25">
      <c r="A71" s="2">
        <v>46026</v>
      </c>
      <c r="B71" s="3">
        <v>0</v>
      </c>
      <c r="C71" s="4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4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1:15" x14ac:dyDescent="0.25">
      <c r="A72" s="2">
        <v>46027</v>
      </c>
      <c r="B72" s="3">
        <v>0</v>
      </c>
      <c r="C72" s="4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4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spans="1:15" x14ac:dyDescent="0.25">
      <c r="A73" s="2">
        <v>46028</v>
      </c>
      <c r="B73" s="3">
        <v>0</v>
      </c>
      <c r="C73" s="4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4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1:15" x14ac:dyDescent="0.25">
      <c r="A74" s="2">
        <v>46029</v>
      </c>
      <c r="B74" s="3">
        <v>0</v>
      </c>
      <c r="C74" s="4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4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1:15" x14ac:dyDescent="0.25">
      <c r="A75" s="2">
        <v>46030</v>
      </c>
      <c r="B75" s="3">
        <v>0</v>
      </c>
      <c r="C75" s="4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4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1:15" x14ac:dyDescent="0.25">
      <c r="A76" s="2">
        <v>46031</v>
      </c>
      <c r="B76" s="3">
        <v>0</v>
      </c>
      <c r="C76" s="4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4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spans="1:15" x14ac:dyDescent="0.25">
      <c r="A77" s="2">
        <v>46032</v>
      </c>
      <c r="B77" s="3">
        <v>0</v>
      </c>
      <c r="C77" s="4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4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spans="1:15" x14ac:dyDescent="0.25">
      <c r="A78" s="2">
        <v>46033</v>
      </c>
      <c r="B78" s="3">
        <v>0</v>
      </c>
      <c r="C78" s="4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4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spans="1:15" x14ac:dyDescent="0.25">
      <c r="A79" s="2">
        <v>46034</v>
      </c>
      <c r="B79" s="3">
        <v>0</v>
      </c>
      <c r="C79" s="4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4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spans="1:15" x14ac:dyDescent="0.25">
      <c r="A80" s="2">
        <v>46035</v>
      </c>
      <c r="B80" s="3">
        <v>0</v>
      </c>
      <c r="C80" s="4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4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spans="1:15" x14ac:dyDescent="0.25">
      <c r="A81" s="2">
        <v>46036</v>
      </c>
      <c r="B81" s="3">
        <v>0</v>
      </c>
      <c r="C81" s="4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4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spans="1:15" x14ac:dyDescent="0.25">
      <c r="A82" s="2">
        <v>46037</v>
      </c>
      <c r="B82" s="3">
        <v>0</v>
      </c>
      <c r="C82" s="4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4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spans="1:15" x14ac:dyDescent="0.25">
      <c r="A83" s="2">
        <v>46038</v>
      </c>
      <c r="B83" s="3">
        <v>0</v>
      </c>
      <c r="C83" s="4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4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1:15" x14ac:dyDescent="0.25">
      <c r="A84" s="2">
        <v>46039</v>
      </c>
      <c r="B84" s="3">
        <v>0</v>
      </c>
      <c r="C84" s="4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4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1:15" x14ac:dyDescent="0.25">
      <c r="A85" s="2">
        <v>46040</v>
      </c>
      <c r="B85" s="3">
        <v>0</v>
      </c>
      <c r="C85" s="4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4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1:15" x14ac:dyDescent="0.25">
      <c r="A86" s="2">
        <v>46041</v>
      </c>
      <c r="B86" s="3">
        <v>0</v>
      </c>
      <c r="C86" s="4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4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1:15" x14ac:dyDescent="0.25">
      <c r="A87" s="2">
        <v>46042</v>
      </c>
      <c r="B87" s="3">
        <v>0</v>
      </c>
      <c r="C87" s="4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4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1:15" x14ac:dyDescent="0.25">
      <c r="A88" s="2">
        <v>46043</v>
      </c>
      <c r="B88" s="3">
        <v>0</v>
      </c>
      <c r="C88" s="4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4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1:15" x14ac:dyDescent="0.25">
      <c r="A89" s="2">
        <v>46044</v>
      </c>
      <c r="B89" s="3">
        <v>0</v>
      </c>
      <c r="C89" s="4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4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</row>
    <row r="90" spans="1:15" x14ac:dyDescent="0.25">
      <c r="A90" s="2">
        <v>46045</v>
      </c>
      <c r="B90" s="3">
        <v>0</v>
      </c>
      <c r="C90" s="4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4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</row>
    <row r="91" spans="1:15" x14ac:dyDescent="0.25">
      <c r="A91" s="2">
        <v>46046</v>
      </c>
      <c r="B91" s="3">
        <v>0</v>
      </c>
      <c r="C91" s="4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4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1:15" x14ac:dyDescent="0.25">
      <c r="A92" s="2">
        <v>46047</v>
      </c>
      <c r="B92" s="3">
        <v>0</v>
      </c>
      <c r="C92" s="4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4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1:15" x14ac:dyDescent="0.25">
      <c r="A93" s="2">
        <v>46048</v>
      </c>
      <c r="B93" s="3">
        <v>0</v>
      </c>
      <c r="C93" s="4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4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1:15" x14ac:dyDescent="0.25">
      <c r="A94" s="2">
        <v>46049</v>
      </c>
      <c r="B94" s="3">
        <v>0</v>
      </c>
      <c r="C94" s="4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4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1:15" x14ac:dyDescent="0.25">
      <c r="A95" s="2">
        <v>46050</v>
      </c>
      <c r="B95" s="3">
        <v>0</v>
      </c>
      <c r="C95" s="4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4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</row>
    <row r="96" spans="1:15" x14ac:dyDescent="0.25">
      <c r="A96" s="2">
        <v>46051</v>
      </c>
      <c r="B96" s="3">
        <v>0</v>
      </c>
      <c r="C96" s="4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4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1:15" x14ac:dyDescent="0.25">
      <c r="A97" s="2">
        <v>46052</v>
      </c>
      <c r="B97" s="3">
        <v>0</v>
      </c>
      <c r="C97" s="4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4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1:15" x14ac:dyDescent="0.25">
      <c r="A98" s="2">
        <v>46053</v>
      </c>
      <c r="B98" s="3">
        <v>0</v>
      </c>
      <c r="C98" s="4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4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1:15" x14ac:dyDescent="0.25">
      <c r="A99" s="2">
        <v>46054</v>
      </c>
      <c r="B99" s="3">
        <v>0</v>
      </c>
      <c r="C99" s="4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4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1:15" x14ac:dyDescent="0.25">
      <c r="A100" s="2">
        <v>46055</v>
      </c>
      <c r="B100" s="3">
        <v>0</v>
      </c>
      <c r="C100" s="4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4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</row>
    <row r="101" spans="1:15" x14ac:dyDescent="0.25">
      <c r="A101" s="2">
        <v>46056</v>
      </c>
      <c r="B101" s="3">
        <v>0</v>
      </c>
      <c r="C101" s="4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4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1:15" x14ac:dyDescent="0.25">
      <c r="A102" s="2">
        <v>46057</v>
      </c>
      <c r="B102" s="3">
        <v>0</v>
      </c>
      <c r="C102" s="4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4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  <row r="103" spans="1:15" x14ac:dyDescent="0.25">
      <c r="A103" s="2">
        <v>46058</v>
      </c>
      <c r="B103" s="3">
        <v>0</v>
      </c>
      <c r="C103" s="4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4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</row>
    <row r="104" spans="1:15" x14ac:dyDescent="0.25">
      <c r="A104" s="2">
        <v>46059</v>
      </c>
      <c r="B104" s="3">
        <v>0</v>
      </c>
      <c r="C104" s="4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4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</row>
    <row r="105" spans="1:15" x14ac:dyDescent="0.25">
      <c r="A105" s="2">
        <v>46060</v>
      </c>
      <c r="B105" s="3">
        <v>0</v>
      </c>
      <c r="C105" s="4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4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</row>
    <row r="106" spans="1:15" x14ac:dyDescent="0.25">
      <c r="A106" s="2">
        <v>46061</v>
      </c>
      <c r="B106" s="3">
        <v>0</v>
      </c>
      <c r="C106" s="4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4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</row>
    <row r="107" spans="1:15" x14ac:dyDescent="0.25">
      <c r="A107" s="2">
        <v>46062</v>
      </c>
      <c r="B107" s="3">
        <v>0</v>
      </c>
      <c r="C107" s="4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4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</row>
    <row r="108" spans="1:15" x14ac:dyDescent="0.25">
      <c r="A108" s="2">
        <v>46063</v>
      </c>
      <c r="B108" s="3">
        <v>0</v>
      </c>
      <c r="C108" s="4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4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</row>
    <row r="109" spans="1:15" x14ac:dyDescent="0.25">
      <c r="A109" s="2">
        <v>46064</v>
      </c>
      <c r="B109" s="3">
        <v>0</v>
      </c>
      <c r="C109" s="4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4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</row>
    <row r="110" spans="1:15" x14ac:dyDescent="0.25">
      <c r="A110" s="2">
        <v>46065</v>
      </c>
      <c r="B110" s="3">
        <v>0</v>
      </c>
      <c r="C110" s="4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4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</row>
    <row r="111" spans="1:15" x14ac:dyDescent="0.25">
      <c r="A111" s="2">
        <v>46066</v>
      </c>
      <c r="B111" s="3">
        <v>0</v>
      </c>
      <c r="C111" s="4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4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</row>
    <row r="112" spans="1:15" x14ac:dyDescent="0.25">
      <c r="A112" s="2">
        <v>46067</v>
      </c>
      <c r="B112" s="3">
        <v>0</v>
      </c>
      <c r="C112" s="4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4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</row>
    <row r="113" spans="1:15" x14ac:dyDescent="0.25">
      <c r="A113" s="2">
        <v>46068</v>
      </c>
      <c r="B113" s="3">
        <v>0</v>
      </c>
      <c r="C113" s="4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4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</row>
    <row r="114" spans="1:15" x14ac:dyDescent="0.25">
      <c r="A114" s="2">
        <v>46069</v>
      </c>
      <c r="B114" s="3">
        <v>0</v>
      </c>
      <c r="C114" s="4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4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</row>
    <row r="115" spans="1:15" x14ac:dyDescent="0.25">
      <c r="A115" s="2">
        <v>46070</v>
      </c>
      <c r="B115" s="3">
        <v>0</v>
      </c>
      <c r="C115" s="4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4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</row>
    <row r="116" spans="1:15" x14ac:dyDescent="0.25">
      <c r="A116" s="2">
        <v>46071</v>
      </c>
      <c r="B116" s="3">
        <v>0</v>
      </c>
      <c r="C116" s="4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4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</row>
    <row r="117" spans="1:15" x14ac:dyDescent="0.25">
      <c r="A117" s="2">
        <v>46072</v>
      </c>
      <c r="B117" s="3">
        <v>0</v>
      </c>
      <c r="C117" s="4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4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</row>
    <row r="118" spans="1:15" x14ac:dyDescent="0.25">
      <c r="A118" s="2">
        <v>46073</v>
      </c>
      <c r="B118" s="3">
        <v>0</v>
      </c>
      <c r="C118" s="4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4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</row>
    <row r="119" spans="1:15" x14ac:dyDescent="0.25">
      <c r="A119" s="2">
        <v>46074</v>
      </c>
      <c r="B119" s="3">
        <v>0</v>
      </c>
      <c r="C119" s="4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4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</row>
    <row r="120" spans="1:15" x14ac:dyDescent="0.25">
      <c r="A120" s="2">
        <v>46075</v>
      </c>
      <c r="B120" s="3">
        <v>0</v>
      </c>
      <c r="C120" s="4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4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</row>
    <row r="121" spans="1:15" x14ac:dyDescent="0.25">
      <c r="A121" s="2">
        <v>46076</v>
      </c>
      <c r="B121" s="3">
        <v>0</v>
      </c>
      <c r="C121" s="4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4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</row>
    <row r="122" spans="1:15" x14ac:dyDescent="0.25">
      <c r="A122" s="2">
        <v>46077</v>
      </c>
      <c r="B122" s="3">
        <v>0</v>
      </c>
      <c r="C122" s="4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4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</row>
    <row r="123" spans="1:15" x14ac:dyDescent="0.25">
      <c r="A123" s="2">
        <v>46078</v>
      </c>
      <c r="B123" s="3">
        <v>0</v>
      </c>
      <c r="C123" s="4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4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</row>
    <row r="124" spans="1:15" x14ac:dyDescent="0.25">
      <c r="A124" s="2">
        <v>46079</v>
      </c>
      <c r="B124" s="3">
        <v>0</v>
      </c>
      <c r="C124" s="4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4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</row>
    <row r="125" spans="1:15" x14ac:dyDescent="0.25">
      <c r="A125" s="2">
        <v>46080</v>
      </c>
      <c r="B125" s="3">
        <v>0</v>
      </c>
      <c r="C125" s="4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4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</row>
    <row r="126" spans="1:15" x14ac:dyDescent="0.25">
      <c r="A126" s="2">
        <v>46081</v>
      </c>
      <c r="B126" s="3">
        <v>0</v>
      </c>
      <c r="C126" s="4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4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</row>
    <row r="127" spans="1:15" x14ac:dyDescent="0.25">
      <c r="A127" s="2">
        <v>46143</v>
      </c>
      <c r="B127" s="3">
        <v>0</v>
      </c>
      <c r="C127" s="4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4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</row>
    <row r="128" spans="1:15" x14ac:dyDescent="0.25">
      <c r="A128" s="2">
        <v>46144</v>
      </c>
      <c r="B128" s="3">
        <v>0</v>
      </c>
      <c r="C128" s="4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4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</row>
    <row r="129" spans="1:15" x14ac:dyDescent="0.25">
      <c r="A129" s="2">
        <v>46145</v>
      </c>
      <c r="B129" s="3">
        <v>0</v>
      </c>
      <c r="C129" s="4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4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</row>
    <row r="130" spans="1:15" x14ac:dyDescent="0.25">
      <c r="A130" s="2">
        <v>46146</v>
      </c>
      <c r="B130" s="3">
        <v>0</v>
      </c>
      <c r="C130" s="4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4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</row>
    <row r="131" spans="1:15" x14ac:dyDescent="0.25">
      <c r="A131" s="2">
        <v>46147</v>
      </c>
      <c r="B131" s="3">
        <v>0</v>
      </c>
      <c r="C131" s="4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4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</row>
    <row r="132" spans="1:15" x14ac:dyDescent="0.25">
      <c r="A132" s="2">
        <v>46148</v>
      </c>
      <c r="B132" s="3">
        <v>0</v>
      </c>
      <c r="C132" s="4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4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</row>
    <row r="133" spans="1:15" x14ac:dyDescent="0.25">
      <c r="A133" s="2">
        <v>46149</v>
      </c>
      <c r="B133" s="3">
        <v>0</v>
      </c>
      <c r="C133" s="4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4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</row>
    <row r="134" spans="1:15" x14ac:dyDescent="0.25">
      <c r="A134" s="2">
        <v>46150</v>
      </c>
      <c r="B134" s="3">
        <v>0</v>
      </c>
      <c r="C134" s="4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4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</row>
    <row r="135" spans="1:15" x14ac:dyDescent="0.25">
      <c r="A135" s="2">
        <v>46151</v>
      </c>
      <c r="B135" s="3">
        <v>0</v>
      </c>
      <c r="C135" s="4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4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</row>
    <row r="136" spans="1:15" x14ac:dyDescent="0.25">
      <c r="A136" s="2">
        <v>46152</v>
      </c>
      <c r="B136" s="3">
        <v>0</v>
      </c>
      <c r="C136" s="4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4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</row>
    <row r="137" spans="1:15" x14ac:dyDescent="0.25">
      <c r="A137" s="2">
        <v>46153</v>
      </c>
      <c r="B137" s="3">
        <v>0</v>
      </c>
      <c r="C137" s="4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4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</row>
    <row r="138" spans="1:15" x14ac:dyDescent="0.25">
      <c r="A138" s="2">
        <v>46154</v>
      </c>
      <c r="B138" s="3">
        <v>0</v>
      </c>
      <c r="C138" s="4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4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</row>
    <row r="139" spans="1:15" x14ac:dyDescent="0.25">
      <c r="A139" s="2">
        <v>46155</v>
      </c>
      <c r="B139" s="3">
        <v>0</v>
      </c>
      <c r="C139" s="4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4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</row>
    <row r="140" spans="1:15" x14ac:dyDescent="0.25">
      <c r="A140" s="2">
        <v>46156</v>
      </c>
      <c r="B140" s="3">
        <v>0</v>
      </c>
      <c r="C140" s="4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4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</row>
    <row r="141" spans="1:15" x14ac:dyDescent="0.25">
      <c r="A141" s="2">
        <v>46157</v>
      </c>
      <c r="B141" s="3">
        <v>0</v>
      </c>
      <c r="C141" s="4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4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</row>
    <row r="142" spans="1:15" x14ac:dyDescent="0.25">
      <c r="A142" s="2">
        <v>46158</v>
      </c>
      <c r="B142" s="3">
        <v>0</v>
      </c>
      <c r="C142" s="4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4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</row>
    <row r="143" spans="1:15" x14ac:dyDescent="0.25">
      <c r="A143" s="2">
        <v>46159</v>
      </c>
      <c r="B143" s="3">
        <v>0</v>
      </c>
      <c r="C143" s="4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4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</row>
    <row r="144" spans="1:15" x14ac:dyDescent="0.25">
      <c r="A144" s="2">
        <v>46160</v>
      </c>
      <c r="B144" s="3">
        <v>0</v>
      </c>
      <c r="C144" s="4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4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</row>
    <row r="145" spans="1:15" x14ac:dyDescent="0.25">
      <c r="A145" s="2">
        <v>46161</v>
      </c>
      <c r="B145" s="3">
        <v>0</v>
      </c>
      <c r="C145" s="4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4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</row>
    <row r="146" spans="1:15" x14ac:dyDescent="0.25">
      <c r="A146" s="2">
        <v>46162</v>
      </c>
      <c r="B146" s="3">
        <v>0</v>
      </c>
      <c r="C146" s="4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4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</row>
    <row r="147" spans="1:15" x14ac:dyDescent="0.25">
      <c r="A147" s="2">
        <v>46163</v>
      </c>
      <c r="B147" s="3">
        <v>200000</v>
      </c>
      <c r="C147" s="4">
        <v>6</v>
      </c>
      <c r="D147" s="3">
        <v>1200000</v>
      </c>
      <c r="E147" s="3">
        <v>1200000</v>
      </c>
      <c r="F147" s="3">
        <v>0</v>
      </c>
      <c r="G147" s="3">
        <v>1200000</v>
      </c>
      <c r="H147" s="3">
        <v>0</v>
      </c>
      <c r="I147" s="3">
        <v>200000</v>
      </c>
      <c r="J147" s="4">
        <v>6</v>
      </c>
      <c r="K147" s="3">
        <v>1200000</v>
      </c>
      <c r="L147" s="3">
        <v>1200000</v>
      </c>
      <c r="M147" s="3">
        <v>0</v>
      </c>
      <c r="N147" s="3">
        <v>1200000</v>
      </c>
      <c r="O147" s="3">
        <v>0</v>
      </c>
    </row>
    <row r="148" spans="1:15" x14ac:dyDescent="0.25">
      <c r="A148" s="2">
        <v>46164</v>
      </c>
      <c r="B148" s="3">
        <v>0</v>
      </c>
      <c r="C148" s="4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4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</row>
    <row r="149" spans="1:15" x14ac:dyDescent="0.25">
      <c r="A149" s="2">
        <v>46165</v>
      </c>
      <c r="B149" s="3">
        <v>0</v>
      </c>
      <c r="C149" s="4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4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</row>
    <row r="150" spans="1:15" x14ac:dyDescent="0.25">
      <c r="A150" s="2">
        <v>46166</v>
      </c>
      <c r="B150" s="3">
        <v>0</v>
      </c>
      <c r="C150" s="4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4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</row>
    <row r="151" spans="1:15" x14ac:dyDescent="0.25">
      <c r="A151" s="2">
        <v>46167</v>
      </c>
      <c r="B151" s="3">
        <v>0</v>
      </c>
      <c r="C151" s="4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4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</row>
    <row r="152" spans="1:15" x14ac:dyDescent="0.25">
      <c r="A152" s="2">
        <v>46168</v>
      </c>
      <c r="B152" s="3">
        <v>0</v>
      </c>
      <c r="C152" s="4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4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</row>
    <row r="153" spans="1:15" x14ac:dyDescent="0.25">
      <c r="A153" s="2">
        <v>46169</v>
      </c>
      <c r="B153" s="3">
        <v>0</v>
      </c>
      <c r="C153" s="4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4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</row>
    <row r="154" spans="1:15" x14ac:dyDescent="0.25">
      <c r="A154" s="2">
        <v>46170</v>
      </c>
      <c r="B154" s="3">
        <v>0</v>
      </c>
      <c r="C154" s="4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4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</row>
    <row r="200" spans="1:2" x14ac:dyDescent="0.25">
      <c r="A200" s="16">
        <f>J7+K7</f>
        <v>0</v>
      </c>
      <c r="B200" t="e">
        <f>GETPIVOTDATA("Total ActualHCM",$A$4)+GETPIVOTDATA("Total ActualHN",$A$4)</f>
        <v>#REF!</v>
      </c>
    </row>
    <row r="201" spans="1:2" x14ac:dyDescent="0.25">
      <c r="A201" s="16">
        <f>J8+K8</f>
        <v>0</v>
      </c>
      <c r="B201" t="e">
        <f>GETPIVOTDATA("Total ActualHCM",$A$4)+GETPIVOTDATA("Total ActualHN",$A$4)</f>
        <v>#REF!</v>
      </c>
    </row>
  </sheetData>
  <mergeCells count="3">
    <mergeCell ref="E1:J2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8E18-4F85-4198-8D72-95248B78C7B5}">
  <dimension ref="A1:L149"/>
  <sheetViews>
    <sheetView workbookViewId="0">
      <selection activeCell="G16" sqref="G16"/>
    </sheetView>
  </sheetViews>
  <sheetFormatPr defaultColWidth="14.5703125" defaultRowHeight="15" x14ac:dyDescent="0.25"/>
  <cols>
    <col min="1" max="1" width="12.42578125" customWidth="1"/>
    <col min="2" max="2" width="11.85546875" bestFit="1" customWidth="1"/>
    <col min="3" max="3" width="20.85546875" bestFit="1" customWidth="1"/>
    <col min="4" max="4" width="16.140625" customWidth="1"/>
    <col min="7" max="7" width="7.28515625" customWidth="1"/>
    <col min="8" max="8" width="12.28515625" customWidth="1"/>
    <col min="9" max="10" width="10.140625" customWidth="1"/>
    <col min="11" max="11" width="10.42578125" customWidth="1"/>
    <col min="12" max="12" width="12.42578125" customWidth="1"/>
  </cols>
  <sheetData>
    <row r="1" spans="1:12" s="1" customFormat="1" x14ac:dyDescent="0.25">
      <c r="A1" s="7" t="s">
        <v>5</v>
      </c>
      <c r="B1" s="7" t="s">
        <v>3</v>
      </c>
      <c r="C1" s="7" t="s">
        <v>61</v>
      </c>
      <c r="D1" s="7" t="s">
        <v>4</v>
      </c>
      <c r="E1" s="7" t="s">
        <v>2</v>
      </c>
      <c r="F1" s="7" t="s">
        <v>1</v>
      </c>
      <c r="G1" s="7" t="s">
        <v>0</v>
      </c>
      <c r="H1" s="7" t="s">
        <v>10</v>
      </c>
      <c r="I1" s="7" t="s">
        <v>7</v>
      </c>
      <c r="J1" s="7" t="s">
        <v>8</v>
      </c>
      <c r="K1" s="7" t="s">
        <v>9</v>
      </c>
      <c r="L1" s="7" t="s">
        <v>6</v>
      </c>
    </row>
    <row r="2" spans="1:12" x14ac:dyDescent="0.25">
      <c r="A2" s="10">
        <v>46023</v>
      </c>
      <c r="B2" s="11" t="s">
        <v>68</v>
      </c>
      <c r="C2" s="11" t="s">
        <v>69</v>
      </c>
      <c r="D2" s="11" t="s">
        <v>70</v>
      </c>
      <c r="E2" s="12">
        <v>0</v>
      </c>
      <c r="F2" s="10">
        <v>46023</v>
      </c>
      <c r="G2" s="13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</row>
    <row r="3" spans="1:12" x14ac:dyDescent="0.25">
      <c r="A3" s="10">
        <v>46024</v>
      </c>
      <c r="B3" s="11" t="s">
        <v>68</v>
      </c>
      <c r="C3" s="11" t="s">
        <v>69</v>
      </c>
      <c r="D3" s="11" t="s">
        <v>70</v>
      </c>
      <c r="E3" s="12">
        <v>0</v>
      </c>
      <c r="F3" s="10">
        <v>46024</v>
      </c>
      <c r="G3" s="13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</row>
    <row r="4" spans="1:12" x14ac:dyDescent="0.25">
      <c r="A4" s="10">
        <v>46025</v>
      </c>
      <c r="B4" s="11" t="s">
        <v>68</v>
      </c>
      <c r="C4" s="11" t="s">
        <v>69</v>
      </c>
      <c r="D4" s="11" t="s">
        <v>70</v>
      </c>
      <c r="E4" s="12">
        <v>0</v>
      </c>
      <c r="F4" s="10">
        <v>46025</v>
      </c>
      <c r="G4" s="13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</row>
    <row r="5" spans="1:12" x14ac:dyDescent="0.25">
      <c r="A5" s="10">
        <v>46026</v>
      </c>
      <c r="B5" s="11" t="s">
        <v>68</v>
      </c>
      <c r="C5" s="11" t="s">
        <v>69</v>
      </c>
      <c r="D5" s="11" t="s">
        <v>70</v>
      </c>
      <c r="E5" s="12">
        <v>0</v>
      </c>
      <c r="F5" s="10">
        <v>46026</v>
      </c>
      <c r="G5" s="13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</row>
    <row r="6" spans="1:12" x14ac:dyDescent="0.25">
      <c r="A6" s="10">
        <v>46027</v>
      </c>
      <c r="B6" s="11" t="s">
        <v>68</v>
      </c>
      <c r="C6" s="11" t="s">
        <v>69</v>
      </c>
      <c r="D6" s="11" t="s">
        <v>70</v>
      </c>
      <c r="E6" s="12">
        <v>0</v>
      </c>
      <c r="F6" s="10">
        <v>46027</v>
      </c>
      <c r="G6" s="13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</row>
    <row r="7" spans="1:12" x14ac:dyDescent="0.25">
      <c r="A7" s="10">
        <v>46028</v>
      </c>
      <c r="B7" s="11" t="s">
        <v>68</v>
      </c>
      <c r="C7" s="11" t="s">
        <v>69</v>
      </c>
      <c r="D7" s="11" t="s">
        <v>70</v>
      </c>
      <c r="E7" s="12">
        <v>0</v>
      </c>
      <c r="F7" s="10">
        <v>46028</v>
      </c>
      <c r="G7" s="13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</row>
    <row r="8" spans="1:12" x14ac:dyDescent="0.25">
      <c r="A8" s="10">
        <v>46029</v>
      </c>
      <c r="B8" s="11" t="s">
        <v>68</v>
      </c>
      <c r="C8" s="11" t="s">
        <v>69</v>
      </c>
      <c r="D8" s="11" t="s">
        <v>70</v>
      </c>
      <c r="E8" s="12">
        <v>0</v>
      </c>
      <c r="F8" s="10">
        <v>46029</v>
      </c>
      <c r="G8" s="13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</row>
    <row r="9" spans="1:12" x14ac:dyDescent="0.25">
      <c r="A9" s="10">
        <v>46030</v>
      </c>
      <c r="B9" s="11" t="s">
        <v>68</v>
      </c>
      <c r="C9" s="11" t="s">
        <v>69</v>
      </c>
      <c r="D9" s="11" t="s">
        <v>70</v>
      </c>
      <c r="E9" s="12">
        <v>0</v>
      </c>
      <c r="F9" s="10">
        <v>46030</v>
      </c>
      <c r="G9" s="13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</row>
    <row r="10" spans="1:12" x14ac:dyDescent="0.25">
      <c r="A10" s="10">
        <v>46031</v>
      </c>
      <c r="B10" s="11" t="s">
        <v>68</v>
      </c>
      <c r="C10" s="11" t="s">
        <v>69</v>
      </c>
      <c r="D10" s="11" t="s">
        <v>70</v>
      </c>
      <c r="E10" s="12">
        <v>0</v>
      </c>
      <c r="F10" s="10">
        <v>46031</v>
      </c>
      <c r="G10" s="13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</row>
    <row r="11" spans="1:12" x14ac:dyDescent="0.25">
      <c r="A11" s="10">
        <v>46032</v>
      </c>
      <c r="B11" s="11" t="s">
        <v>68</v>
      </c>
      <c r="C11" s="11" t="s">
        <v>69</v>
      </c>
      <c r="D11" s="11" t="s">
        <v>70</v>
      </c>
      <c r="E11" s="12">
        <v>0</v>
      </c>
      <c r="F11" s="10">
        <v>46032</v>
      </c>
      <c r="G11" s="13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</row>
    <row r="12" spans="1:12" x14ac:dyDescent="0.25">
      <c r="A12" s="10">
        <v>46033</v>
      </c>
      <c r="B12" s="11" t="s">
        <v>68</v>
      </c>
      <c r="C12" s="11" t="s">
        <v>69</v>
      </c>
      <c r="D12" s="11" t="s">
        <v>70</v>
      </c>
      <c r="E12" s="12">
        <v>0</v>
      </c>
      <c r="F12" s="10">
        <v>46033</v>
      </c>
      <c r="G12" s="13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</row>
    <row r="13" spans="1:12" x14ac:dyDescent="0.25">
      <c r="A13" s="10">
        <v>46034</v>
      </c>
      <c r="B13" s="11" t="s">
        <v>68</v>
      </c>
      <c r="C13" s="11" t="s">
        <v>69</v>
      </c>
      <c r="D13" s="11" t="s">
        <v>70</v>
      </c>
      <c r="E13" s="12">
        <v>0</v>
      </c>
      <c r="F13" s="10">
        <v>46034</v>
      </c>
      <c r="G13" s="13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</row>
    <row r="14" spans="1:12" x14ac:dyDescent="0.25">
      <c r="A14" s="10">
        <v>46035</v>
      </c>
      <c r="B14" s="11" t="s">
        <v>68</v>
      </c>
      <c r="C14" s="11" t="s">
        <v>69</v>
      </c>
      <c r="D14" s="11" t="s">
        <v>70</v>
      </c>
      <c r="E14" s="12">
        <v>0</v>
      </c>
      <c r="F14" s="10">
        <v>46035</v>
      </c>
      <c r="G14" s="13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</row>
    <row r="15" spans="1:12" x14ac:dyDescent="0.25">
      <c r="A15" s="10">
        <v>46036</v>
      </c>
      <c r="B15" s="11" t="s">
        <v>68</v>
      </c>
      <c r="C15" s="11" t="s">
        <v>69</v>
      </c>
      <c r="D15" s="11" t="s">
        <v>70</v>
      </c>
      <c r="E15" s="12">
        <v>0</v>
      </c>
      <c r="F15" s="10">
        <v>46036</v>
      </c>
      <c r="G15" s="13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</row>
    <row r="16" spans="1:12" x14ac:dyDescent="0.25">
      <c r="A16" s="10">
        <v>46037</v>
      </c>
      <c r="B16" s="11" t="s">
        <v>68</v>
      </c>
      <c r="C16" s="11" t="s">
        <v>69</v>
      </c>
      <c r="D16" s="11" t="s">
        <v>70</v>
      </c>
      <c r="E16" s="12">
        <v>0</v>
      </c>
      <c r="F16" s="10">
        <v>46037</v>
      </c>
      <c r="G16" s="13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</row>
    <row r="17" spans="1:12" x14ac:dyDescent="0.25">
      <c r="A17" s="10">
        <v>46038</v>
      </c>
      <c r="B17" s="11" t="s">
        <v>68</v>
      </c>
      <c r="C17" s="11" t="s">
        <v>69</v>
      </c>
      <c r="D17" s="11" t="s">
        <v>70</v>
      </c>
      <c r="E17" s="12">
        <v>0</v>
      </c>
      <c r="F17" s="10">
        <v>46038</v>
      </c>
      <c r="G17" s="13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</row>
    <row r="18" spans="1:12" x14ac:dyDescent="0.25">
      <c r="A18" s="10">
        <v>46039</v>
      </c>
      <c r="B18" s="11" t="s">
        <v>68</v>
      </c>
      <c r="C18" s="11" t="s">
        <v>69</v>
      </c>
      <c r="D18" s="11" t="s">
        <v>70</v>
      </c>
      <c r="E18" s="12">
        <v>0</v>
      </c>
      <c r="F18" s="10">
        <v>46039</v>
      </c>
      <c r="G18" s="13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</row>
    <row r="19" spans="1:12" x14ac:dyDescent="0.25">
      <c r="A19" s="10">
        <v>46040</v>
      </c>
      <c r="B19" s="11" t="s">
        <v>68</v>
      </c>
      <c r="C19" s="11" t="s">
        <v>69</v>
      </c>
      <c r="D19" s="11" t="s">
        <v>70</v>
      </c>
      <c r="E19" s="12">
        <v>0</v>
      </c>
      <c r="F19" s="10">
        <v>46040</v>
      </c>
      <c r="G19" s="13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</row>
    <row r="20" spans="1:12" x14ac:dyDescent="0.25">
      <c r="A20" s="10">
        <v>46041</v>
      </c>
      <c r="B20" s="11" t="s">
        <v>68</v>
      </c>
      <c r="C20" s="11" t="s">
        <v>69</v>
      </c>
      <c r="D20" s="11" t="s">
        <v>70</v>
      </c>
      <c r="E20" s="12">
        <v>0</v>
      </c>
      <c r="F20" s="10">
        <v>46041</v>
      </c>
      <c r="G20" s="13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</row>
    <row r="21" spans="1:12" x14ac:dyDescent="0.25">
      <c r="A21" s="10">
        <v>46042</v>
      </c>
      <c r="B21" s="11" t="s">
        <v>68</v>
      </c>
      <c r="C21" s="11" t="s">
        <v>69</v>
      </c>
      <c r="D21" s="11" t="s">
        <v>70</v>
      </c>
      <c r="E21" s="12">
        <v>0</v>
      </c>
      <c r="F21" s="10">
        <v>46042</v>
      </c>
      <c r="G21" s="13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</row>
    <row r="22" spans="1:12" x14ac:dyDescent="0.25">
      <c r="A22" s="10">
        <v>46043</v>
      </c>
      <c r="B22" s="11" t="s">
        <v>68</v>
      </c>
      <c r="C22" s="11" t="s">
        <v>69</v>
      </c>
      <c r="D22" s="11" t="s">
        <v>70</v>
      </c>
      <c r="E22" s="12">
        <v>0</v>
      </c>
      <c r="F22" s="10">
        <v>46043</v>
      </c>
      <c r="G22" s="13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</row>
    <row r="23" spans="1:12" x14ac:dyDescent="0.25">
      <c r="A23" s="10">
        <v>46044</v>
      </c>
      <c r="B23" s="11" t="s">
        <v>68</v>
      </c>
      <c r="C23" s="11" t="s">
        <v>69</v>
      </c>
      <c r="D23" s="11" t="s">
        <v>70</v>
      </c>
      <c r="E23" s="12">
        <v>0</v>
      </c>
      <c r="F23" s="10">
        <v>46044</v>
      </c>
      <c r="G23" s="13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</row>
    <row r="24" spans="1:12" x14ac:dyDescent="0.25">
      <c r="A24" s="10">
        <v>46045</v>
      </c>
      <c r="B24" s="11" t="s">
        <v>68</v>
      </c>
      <c r="C24" s="11" t="s">
        <v>69</v>
      </c>
      <c r="D24" s="11" t="s">
        <v>70</v>
      </c>
      <c r="E24" s="12">
        <v>0</v>
      </c>
      <c r="F24" s="10">
        <v>46045</v>
      </c>
      <c r="G24" s="13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</row>
    <row r="25" spans="1:12" x14ac:dyDescent="0.25">
      <c r="A25" s="10">
        <v>46046</v>
      </c>
      <c r="B25" s="11" t="s">
        <v>68</v>
      </c>
      <c r="C25" s="11" t="s">
        <v>69</v>
      </c>
      <c r="D25" s="11" t="s">
        <v>70</v>
      </c>
      <c r="E25" s="12">
        <v>0</v>
      </c>
      <c r="F25" s="10">
        <v>46046</v>
      </c>
      <c r="G25" s="13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</row>
    <row r="26" spans="1:12" x14ac:dyDescent="0.25">
      <c r="A26" s="10">
        <v>46047</v>
      </c>
      <c r="B26" s="11" t="s">
        <v>68</v>
      </c>
      <c r="C26" s="11" t="s">
        <v>69</v>
      </c>
      <c r="D26" s="11" t="s">
        <v>70</v>
      </c>
      <c r="E26" s="12">
        <v>0</v>
      </c>
      <c r="F26" s="10">
        <v>46047</v>
      </c>
      <c r="G26" s="13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</row>
    <row r="27" spans="1:12" x14ac:dyDescent="0.25">
      <c r="A27" s="10">
        <v>46048</v>
      </c>
      <c r="B27" s="11" t="s">
        <v>68</v>
      </c>
      <c r="C27" s="11" t="s">
        <v>69</v>
      </c>
      <c r="D27" s="11" t="s">
        <v>70</v>
      </c>
      <c r="E27" s="12">
        <v>0</v>
      </c>
      <c r="F27" s="10">
        <v>46048</v>
      </c>
      <c r="G27" s="13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</row>
    <row r="28" spans="1:12" x14ac:dyDescent="0.25">
      <c r="A28" s="10">
        <v>46049</v>
      </c>
      <c r="B28" s="11" t="s">
        <v>68</v>
      </c>
      <c r="C28" s="11" t="s">
        <v>69</v>
      </c>
      <c r="D28" s="11" t="s">
        <v>70</v>
      </c>
      <c r="E28" s="12">
        <v>0</v>
      </c>
      <c r="F28" s="10">
        <v>46049</v>
      </c>
      <c r="G28" s="13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</row>
    <row r="29" spans="1:12" x14ac:dyDescent="0.25">
      <c r="A29" s="10">
        <v>46050</v>
      </c>
      <c r="B29" s="11" t="s">
        <v>68</v>
      </c>
      <c r="C29" s="11" t="s">
        <v>69</v>
      </c>
      <c r="D29" s="11" t="s">
        <v>70</v>
      </c>
      <c r="E29" s="12">
        <v>0</v>
      </c>
      <c r="F29" s="10">
        <v>46050</v>
      </c>
      <c r="G29" s="13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</row>
    <row r="30" spans="1:12" x14ac:dyDescent="0.25">
      <c r="A30" s="10">
        <v>46051</v>
      </c>
      <c r="B30" s="11" t="s">
        <v>68</v>
      </c>
      <c r="C30" s="11" t="s">
        <v>69</v>
      </c>
      <c r="D30" s="11" t="s">
        <v>70</v>
      </c>
      <c r="E30" s="12">
        <v>0</v>
      </c>
      <c r="F30" s="10">
        <v>46051</v>
      </c>
      <c r="G30" s="13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</row>
    <row r="31" spans="1:12" x14ac:dyDescent="0.25">
      <c r="A31" s="10">
        <v>46052</v>
      </c>
      <c r="B31" s="11" t="s">
        <v>68</v>
      </c>
      <c r="C31" s="11" t="s">
        <v>69</v>
      </c>
      <c r="D31" s="11" t="s">
        <v>70</v>
      </c>
      <c r="E31" s="12">
        <v>0</v>
      </c>
      <c r="F31" s="10">
        <v>46052</v>
      </c>
      <c r="G31" s="13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</row>
    <row r="32" spans="1:12" x14ac:dyDescent="0.25">
      <c r="A32" s="10">
        <v>46053</v>
      </c>
      <c r="B32" s="11" t="s">
        <v>68</v>
      </c>
      <c r="C32" s="11" t="s">
        <v>69</v>
      </c>
      <c r="D32" s="11" t="s">
        <v>70</v>
      </c>
      <c r="E32" s="12">
        <v>0</v>
      </c>
      <c r="F32" s="10">
        <v>46053</v>
      </c>
      <c r="G32" s="13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</row>
    <row r="33" spans="1:12" x14ac:dyDescent="0.25">
      <c r="A33" s="10">
        <v>46054</v>
      </c>
      <c r="B33" s="11" t="s">
        <v>68</v>
      </c>
      <c r="C33" s="11" t="s">
        <v>69</v>
      </c>
      <c r="D33" s="11" t="s">
        <v>70</v>
      </c>
      <c r="E33" s="12">
        <v>0</v>
      </c>
      <c r="F33" s="10">
        <v>46054</v>
      </c>
      <c r="G33" s="13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</row>
    <row r="34" spans="1:12" x14ac:dyDescent="0.25">
      <c r="A34" s="10">
        <v>46055</v>
      </c>
      <c r="B34" s="11" t="s">
        <v>68</v>
      </c>
      <c r="C34" s="11" t="s">
        <v>69</v>
      </c>
      <c r="D34" s="11" t="s">
        <v>70</v>
      </c>
      <c r="E34" s="12">
        <v>0</v>
      </c>
      <c r="F34" s="10">
        <v>46055</v>
      </c>
      <c r="G34" s="13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</row>
    <row r="35" spans="1:12" x14ac:dyDescent="0.25">
      <c r="A35" s="10">
        <v>46056</v>
      </c>
      <c r="B35" s="11" t="s">
        <v>68</v>
      </c>
      <c r="C35" s="11" t="s">
        <v>69</v>
      </c>
      <c r="D35" s="11" t="s">
        <v>70</v>
      </c>
      <c r="E35" s="12">
        <v>0</v>
      </c>
      <c r="F35" s="10">
        <v>46056</v>
      </c>
      <c r="G35" s="13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</row>
    <row r="36" spans="1:12" x14ac:dyDescent="0.25">
      <c r="A36" s="10">
        <v>46057</v>
      </c>
      <c r="B36" s="11" t="s">
        <v>68</v>
      </c>
      <c r="C36" s="11" t="s">
        <v>69</v>
      </c>
      <c r="D36" s="11" t="s">
        <v>70</v>
      </c>
      <c r="E36" s="12">
        <v>0</v>
      </c>
      <c r="F36" s="10">
        <v>46057</v>
      </c>
      <c r="G36" s="13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</row>
    <row r="37" spans="1:12" x14ac:dyDescent="0.25">
      <c r="A37" s="10">
        <v>46058</v>
      </c>
      <c r="B37" s="11" t="s">
        <v>68</v>
      </c>
      <c r="C37" s="11" t="s">
        <v>69</v>
      </c>
      <c r="D37" s="11" t="s">
        <v>70</v>
      </c>
      <c r="E37" s="12">
        <v>0</v>
      </c>
      <c r="F37" s="10">
        <v>46058</v>
      </c>
      <c r="G37" s="13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</row>
    <row r="38" spans="1:12" x14ac:dyDescent="0.25">
      <c r="A38" s="10">
        <v>46059</v>
      </c>
      <c r="B38" s="11" t="s">
        <v>68</v>
      </c>
      <c r="C38" s="11" t="s">
        <v>69</v>
      </c>
      <c r="D38" s="11" t="s">
        <v>70</v>
      </c>
      <c r="E38" s="12">
        <v>0</v>
      </c>
      <c r="F38" s="10">
        <v>46059</v>
      </c>
      <c r="G38" s="13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</row>
    <row r="39" spans="1:12" x14ac:dyDescent="0.25">
      <c r="A39" s="10">
        <v>46060</v>
      </c>
      <c r="B39" s="11" t="s">
        <v>68</v>
      </c>
      <c r="C39" s="11" t="s">
        <v>69</v>
      </c>
      <c r="D39" s="11" t="s">
        <v>70</v>
      </c>
      <c r="E39" s="12">
        <v>0</v>
      </c>
      <c r="F39" s="10">
        <v>46060</v>
      </c>
      <c r="G39" s="13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</row>
    <row r="40" spans="1:12" x14ac:dyDescent="0.25">
      <c r="A40" s="10">
        <v>46061</v>
      </c>
      <c r="B40" s="11" t="s">
        <v>68</v>
      </c>
      <c r="C40" s="11" t="s">
        <v>69</v>
      </c>
      <c r="D40" s="11" t="s">
        <v>70</v>
      </c>
      <c r="E40" s="12">
        <v>0</v>
      </c>
      <c r="F40" s="10">
        <v>46061</v>
      </c>
      <c r="G40" s="13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</row>
    <row r="41" spans="1:12" x14ac:dyDescent="0.25">
      <c r="A41" s="10">
        <v>46062</v>
      </c>
      <c r="B41" s="11" t="s">
        <v>68</v>
      </c>
      <c r="C41" s="11" t="s">
        <v>69</v>
      </c>
      <c r="D41" s="11" t="s">
        <v>70</v>
      </c>
      <c r="E41" s="12">
        <v>0</v>
      </c>
      <c r="F41" s="10">
        <v>46062</v>
      </c>
      <c r="G41" s="13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</row>
    <row r="42" spans="1:12" x14ac:dyDescent="0.25">
      <c r="A42" s="10">
        <v>46063</v>
      </c>
      <c r="B42" s="11" t="s">
        <v>68</v>
      </c>
      <c r="C42" s="11" t="s">
        <v>69</v>
      </c>
      <c r="D42" s="11" t="s">
        <v>70</v>
      </c>
      <c r="E42" s="12">
        <v>0</v>
      </c>
      <c r="F42" s="10">
        <v>46063</v>
      </c>
      <c r="G42" s="13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</row>
    <row r="43" spans="1:12" x14ac:dyDescent="0.25">
      <c r="A43" s="10">
        <v>46064</v>
      </c>
      <c r="B43" s="11" t="s">
        <v>68</v>
      </c>
      <c r="C43" s="11" t="s">
        <v>69</v>
      </c>
      <c r="D43" s="11" t="s">
        <v>70</v>
      </c>
      <c r="E43" s="12">
        <v>0</v>
      </c>
      <c r="F43" s="10">
        <v>46064</v>
      </c>
      <c r="G43" s="13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2" x14ac:dyDescent="0.25">
      <c r="A44" s="10">
        <v>46065</v>
      </c>
      <c r="B44" s="11" t="s">
        <v>68</v>
      </c>
      <c r="C44" s="11" t="s">
        <v>69</v>
      </c>
      <c r="D44" s="11" t="s">
        <v>70</v>
      </c>
      <c r="E44" s="12">
        <v>0</v>
      </c>
      <c r="F44" s="10">
        <v>46065</v>
      </c>
      <c r="G44" s="13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</row>
    <row r="45" spans="1:12" x14ac:dyDescent="0.25">
      <c r="A45" s="10">
        <v>46066</v>
      </c>
      <c r="B45" s="11" t="s">
        <v>68</v>
      </c>
      <c r="C45" s="11" t="s">
        <v>69</v>
      </c>
      <c r="D45" s="11" t="s">
        <v>70</v>
      </c>
      <c r="E45" s="12">
        <v>0</v>
      </c>
      <c r="F45" s="10">
        <v>46066</v>
      </c>
      <c r="G45" s="13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</row>
    <row r="46" spans="1:12" x14ac:dyDescent="0.25">
      <c r="A46" s="10">
        <v>46067</v>
      </c>
      <c r="B46" s="11" t="s">
        <v>68</v>
      </c>
      <c r="C46" s="11" t="s">
        <v>69</v>
      </c>
      <c r="D46" s="11" t="s">
        <v>70</v>
      </c>
      <c r="E46" s="12">
        <v>0</v>
      </c>
      <c r="F46" s="10">
        <v>46067</v>
      </c>
      <c r="G46" s="13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</row>
    <row r="47" spans="1:12" x14ac:dyDescent="0.25">
      <c r="A47" s="10">
        <v>46068</v>
      </c>
      <c r="B47" s="11" t="s">
        <v>68</v>
      </c>
      <c r="C47" s="11" t="s">
        <v>69</v>
      </c>
      <c r="D47" s="11" t="s">
        <v>70</v>
      </c>
      <c r="E47" s="12">
        <v>0</v>
      </c>
      <c r="F47" s="10">
        <v>46068</v>
      </c>
      <c r="G47" s="13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</row>
    <row r="48" spans="1:12" x14ac:dyDescent="0.25">
      <c r="A48" s="10">
        <v>46069</v>
      </c>
      <c r="B48" s="11" t="s">
        <v>68</v>
      </c>
      <c r="C48" s="11" t="s">
        <v>69</v>
      </c>
      <c r="D48" s="11" t="s">
        <v>70</v>
      </c>
      <c r="E48" s="12">
        <v>0</v>
      </c>
      <c r="F48" s="10">
        <v>46069</v>
      </c>
      <c r="G48" s="13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</row>
    <row r="49" spans="1:12" x14ac:dyDescent="0.25">
      <c r="A49" s="10">
        <v>46070</v>
      </c>
      <c r="B49" s="11" t="s">
        <v>68</v>
      </c>
      <c r="C49" s="11" t="s">
        <v>69</v>
      </c>
      <c r="D49" s="11" t="s">
        <v>70</v>
      </c>
      <c r="E49" s="12">
        <v>0</v>
      </c>
      <c r="F49" s="10">
        <v>46070</v>
      </c>
      <c r="G49" s="13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</row>
    <row r="50" spans="1:12" x14ac:dyDescent="0.25">
      <c r="A50" s="10">
        <v>46071</v>
      </c>
      <c r="B50" s="11" t="s">
        <v>68</v>
      </c>
      <c r="C50" s="11" t="s">
        <v>69</v>
      </c>
      <c r="D50" s="11" t="s">
        <v>70</v>
      </c>
      <c r="E50" s="12">
        <v>0</v>
      </c>
      <c r="F50" s="10">
        <v>46071</v>
      </c>
      <c r="G50" s="13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</row>
    <row r="51" spans="1:12" x14ac:dyDescent="0.25">
      <c r="A51" s="10">
        <v>46072</v>
      </c>
      <c r="B51" s="11" t="s">
        <v>68</v>
      </c>
      <c r="C51" s="11" t="s">
        <v>69</v>
      </c>
      <c r="D51" s="11" t="s">
        <v>70</v>
      </c>
      <c r="E51" s="12">
        <v>0</v>
      </c>
      <c r="F51" s="10">
        <v>46072</v>
      </c>
      <c r="G51" s="13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</row>
    <row r="52" spans="1:12" x14ac:dyDescent="0.25">
      <c r="A52" s="10">
        <v>46073</v>
      </c>
      <c r="B52" s="11" t="s">
        <v>68</v>
      </c>
      <c r="C52" s="11" t="s">
        <v>69</v>
      </c>
      <c r="D52" s="11" t="s">
        <v>70</v>
      </c>
      <c r="E52" s="12">
        <v>0</v>
      </c>
      <c r="F52" s="10">
        <v>46073</v>
      </c>
      <c r="G52" s="13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</row>
    <row r="53" spans="1:12" x14ac:dyDescent="0.25">
      <c r="A53" s="10">
        <v>46074</v>
      </c>
      <c r="B53" s="11" t="s">
        <v>68</v>
      </c>
      <c r="C53" s="11" t="s">
        <v>69</v>
      </c>
      <c r="D53" s="11" t="s">
        <v>70</v>
      </c>
      <c r="E53" s="12">
        <v>0</v>
      </c>
      <c r="F53" s="10">
        <v>46074</v>
      </c>
      <c r="G53" s="13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</row>
    <row r="54" spans="1:12" x14ac:dyDescent="0.25">
      <c r="A54" s="10">
        <v>46075</v>
      </c>
      <c r="B54" s="11" t="s">
        <v>68</v>
      </c>
      <c r="C54" s="11" t="s">
        <v>69</v>
      </c>
      <c r="D54" s="11" t="s">
        <v>70</v>
      </c>
      <c r="E54" s="12">
        <v>0</v>
      </c>
      <c r="F54" s="10">
        <v>46075</v>
      </c>
      <c r="G54" s="13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</row>
    <row r="55" spans="1:12" x14ac:dyDescent="0.25">
      <c r="A55" s="10">
        <v>46076</v>
      </c>
      <c r="B55" s="11" t="s">
        <v>68</v>
      </c>
      <c r="C55" s="11" t="s">
        <v>69</v>
      </c>
      <c r="D55" s="11" t="s">
        <v>70</v>
      </c>
      <c r="E55" s="12">
        <v>0</v>
      </c>
      <c r="F55" s="10">
        <v>46076</v>
      </c>
      <c r="G55" s="13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</row>
    <row r="56" spans="1:12" x14ac:dyDescent="0.25">
      <c r="A56" s="10">
        <v>46077</v>
      </c>
      <c r="B56" s="11" t="s">
        <v>68</v>
      </c>
      <c r="C56" s="11" t="s">
        <v>69</v>
      </c>
      <c r="D56" s="11" t="s">
        <v>70</v>
      </c>
      <c r="E56" s="12">
        <v>0</v>
      </c>
      <c r="F56" s="10">
        <v>46077</v>
      </c>
      <c r="G56" s="13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</row>
    <row r="57" spans="1:12" x14ac:dyDescent="0.25">
      <c r="A57" s="10">
        <v>46078</v>
      </c>
      <c r="B57" s="11" t="s">
        <v>68</v>
      </c>
      <c r="C57" s="11" t="s">
        <v>69</v>
      </c>
      <c r="D57" s="11" t="s">
        <v>70</v>
      </c>
      <c r="E57" s="12">
        <v>0</v>
      </c>
      <c r="F57" s="10">
        <v>46078</v>
      </c>
      <c r="G57" s="13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</row>
    <row r="58" spans="1:12" x14ac:dyDescent="0.25">
      <c r="A58" s="10">
        <v>46079</v>
      </c>
      <c r="B58" s="11" t="s">
        <v>68</v>
      </c>
      <c r="C58" s="11" t="s">
        <v>69</v>
      </c>
      <c r="D58" s="11" t="s">
        <v>70</v>
      </c>
      <c r="E58" s="12">
        <v>0</v>
      </c>
      <c r="F58" s="10">
        <v>46079</v>
      </c>
      <c r="G58" s="13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x14ac:dyDescent="0.25">
      <c r="A59" s="10">
        <v>46080</v>
      </c>
      <c r="B59" s="11" t="s">
        <v>68</v>
      </c>
      <c r="C59" s="11" t="s">
        <v>69</v>
      </c>
      <c r="D59" s="11" t="s">
        <v>70</v>
      </c>
      <c r="E59" s="12">
        <v>0</v>
      </c>
      <c r="F59" s="10">
        <v>46080</v>
      </c>
      <c r="G59" s="13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</row>
    <row r="60" spans="1:12" x14ac:dyDescent="0.25">
      <c r="A60" s="10">
        <v>46081</v>
      </c>
      <c r="B60" s="11" t="s">
        <v>68</v>
      </c>
      <c r="C60" s="11" t="s">
        <v>69</v>
      </c>
      <c r="D60" s="11" t="s">
        <v>70</v>
      </c>
      <c r="E60" s="12">
        <v>0</v>
      </c>
      <c r="F60" s="10">
        <v>46081</v>
      </c>
      <c r="G60" s="13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</row>
    <row r="61" spans="1:12" x14ac:dyDescent="0.25">
      <c r="A61" s="10">
        <v>46082</v>
      </c>
      <c r="B61" s="11" t="s">
        <v>68</v>
      </c>
      <c r="C61" s="11" t="s">
        <v>69</v>
      </c>
      <c r="D61" s="11" t="s">
        <v>70</v>
      </c>
      <c r="E61" s="12">
        <v>0</v>
      </c>
      <c r="F61" s="10">
        <v>46082</v>
      </c>
      <c r="G61" s="13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</row>
    <row r="62" spans="1:12" x14ac:dyDescent="0.25">
      <c r="A62" s="10">
        <v>46083</v>
      </c>
      <c r="B62" s="11" t="s">
        <v>68</v>
      </c>
      <c r="C62" s="11" t="s">
        <v>69</v>
      </c>
      <c r="D62" s="11" t="s">
        <v>70</v>
      </c>
      <c r="E62" s="12">
        <v>0</v>
      </c>
      <c r="F62" s="10">
        <v>46083</v>
      </c>
      <c r="G62" s="13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x14ac:dyDescent="0.25">
      <c r="A63" s="10">
        <v>46084</v>
      </c>
      <c r="B63" s="11" t="s">
        <v>68</v>
      </c>
      <c r="C63" s="11" t="s">
        <v>69</v>
      </c>
      <c r="D63" s="11" t="s">
        <v>70</v>
      </c>
      <c r="E63" s="12">
        <v>0</v>
      </c>
      <c r="F63" s="10">
        <v>46084</v>
      </c>
      <c r="G63" s="13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</row>
    <row r="64" spans="1:12" x14ac:dyDescent="0.25">
      <c r="A64" s="10">
        <v>46085</v>
      </c>
      <c r="B64" s="11" t="s">
        <v>68</v>
      </c>
      <c r="C64" s="11" t="s">
        <v>69</v>
      </c>
      <c r="D64" s="11" t="s">
        <v>70</v>
      </c>
      <c r="E64" s="12">
        <v>0</v>
      </c>
      <c r="F64" s="10">
        <v>46085</v>
      </c>
      <c r="G64" s="13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</row>
    <row r="65" spans="1:12" x14ac:dyDescent="0.25">
      <c r="A65" s="10">
        <v>46086</v>
      </c>
      <c r="B65" s="11" t="s">
        <v>68</v>
      </c>
      <c r="C65" s="11" t="s">
        <v>69</v>
      </c>
      <c r="D65" s="11" t="s">
        <v>70</v>
      </c>
      <c r="E65" s="12">
        <v>0</v>
      </c>
      <c r="F65" s="10">
        <v>46086</v>
      </c>
      <c r="G65" s="13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</row>
    <row r="66" spans="1:12" x14ac:dyDescent="0.25">
      <c r="A66" s="10">
        <v>46087</v>
      </c>
      <c r="B66" s="11" t="s">
        <v>68</v>
      </c>
      <c r="C66" s="11" t="s">
        <v>69</v>
      </c>
      <c r="D66" s="11" t="s">
        <v>70</v>
      </c>
      <c r="E66" s="12">
        <v>0</v>
      </c>
      <c r="F66" s="10">
        <v>46087</v>
      </c>
      <c r="G66" s="13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</row>
    <row r="67" spans="1:12" x14ac:dyDescent="0.25">
      <c r="A67" s="10">
        <v>46088</v>
      </c>
      <c r="B67" s="11" t="s">
        <v>68</v>
      </c>
      <c r="C67" s="11" t="s">
        <v>69</v>
      </c>
      <c r="D67" s="11" t="s">
        <v>70</v>
      </c>
      <c r="E67" s="12">
        <v>0</v>
      </c>
      <c r="F67" s="10">
        <v>46088</v>
      </c>
      <c r="G67" s="13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</row>
    <row r="68" spans="1:12" x14ac:dyDescent="0.25">
      <c r="A68" s="10">
        <v>46089</v>
      </c>
      <c r="B68" s="11" t="s">
        <v>68</v>
      </c>
      <c r="C68" s="11" t="s">
        <v>69</v>
      </c>
      <c r="D68" s="11" t="s">
        <v>70</v>
      </c>
      <c r="E68" s="12">
        <v>0</v>
      </c>
      <c r="F68" s="10">
        <v>46089</v>
      </c>
      <c r="G68" s="13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</row>
    <row r="69" spans="1:12" x14ac:dyDescent="0.25">
      <c r="A69" s="10">
        <v>46090</v>
      </c>
      <c r="B69" s="11" t="s">
        <v>68</v>
      </c>
      <c r="C69" s="11" t="s">
        <v>69</v>
      </c>
      <c r="D69" s="11" t="s">
        <v>70</v>
      </c>
      <c r="E69" s="12">
        <v>0</v>
      </c>
      <c r="F69" s="10">
        <v>46090</v>
      </c>
      <c r="G69" s="13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</row>
    <row r="70" spans="1:12" x14ac:dyDescent="0.25">
      <c r="A70" s="10">
        <v>46091</v>
      </c>
      <c r="B70" s="11" t="s">
        <v>68</v>
      </c>
      <c r="C70" s="11" t="s">
        <v>69</v>
      </c>
      <c r="D70" s="11" t="s">
        <v>70</v>
      </c>
      <c r="E70" s="12">
        <v>0</v>
      </c>
      <c r="F70" s="10">
        <v>46091</v>
      </c>
      <c r="G70" s="13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</row>
    <row r="71" spans="1:12" x14ac:dyDescent="0.25">
      <c r="A71" s="10">
        <v>46092</v>
      </c>
      <c r="B71" s="11" t="s">
        <v>68</v>
      </c>
      <c r="C71" s="11" t="s">
        <v>69</v>
      </c>
      <c r="D71" s="11" t="s">
        <v>70</v>
      </c>
      <c r="E71" s="12">
        <v>0</v>
      </c>
      <c r="F71" s="10">
        <v>46092</v>
      </c>
      <c r="G71" s="13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</row>
    <row r="72" spans="1:12" x14ac:dyDescent="0.25">
      <c r="A72" s="10">
        <v>46093</v>
      </c>
      <c r="B72" s="11" t="s">
        <v>68</v>
      </c>
      <c r="C72" s="11" t="s">
        <v>69</v>
      </c>
      <c r="D72" s="11" t="s">
        <v>70</v>
      </c>
      <c r="E72" s="12">
        <v>0</v>
      </c>
      <c r="F72" s="10">
        <v>46093</v>
      </c>
      <c r="G72" s="13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</row>
    <row r="73" spans="1:12" x14ac:dyDescent="0.25">
      <c r="A73" s="10">
        <v>46094</v>
      </c>
      <c r="B73" s="11" t="s">
        <v>68</v>
      </c>
      <c r="C73" s="11" t="s">
        <v>69</v>
      </c>
      <c r="D73" s="11" t="s">
        <v>70</v>
      </c>
      <c r="E73" s="12">
        <v>0</v>
      </c>
      <c r="F73" s="10">
        <v>46094</v>
      </c>
      <c r="G73" s="13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</row>
    <row r="74" spans="1:12" x14ac:dyDescent="0.25">
      <c r="A74" s="10">
        <v>46095</v>
      </c>
      <c r="B74" s="11" t="s">
        <v>68</v>
      </c>
      <c r="C74" s="11" t="s">
        <v>69</v>
      </c>
      <c r="D74" s="11" t="s">
        <v>70</v>
      </c>
      <c r="E74" s="12">
        <v>0</v>
      </c>
      <c r="F74" s="10">
        <v>46095</v>
      </c>
      <c r="G74" s="13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</row>
    <row r="75" spans="1:12" x14ac:dyDescent="0.25">
      <c r="A75" s="10">
        <v>46096</v>
      </c>
      <c r="B75" s="11" t="s">
        <v>68</v>
      </c>
      <c r="C75" s="11" t="s">
        <v>69</v>
      </c>
      <c r="D75" s="11" t="s">
        <v>70</v>
      </c>
      <c r="E75" s="12">
        <v>0</v>
      </c>
      <c r="F75" s="10">
        <v>46096</v>
      </c>
      <c r="G75" s="13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</row>
    <row r="76" spans="1:12" x14ac:dyDescent="0.25">
      <c r="A76" s="10">
        <v>46097</v>
      </c>
      <c r="B76" s="11" t="s">
        <v>68</v>
      </c>
      <c r="C76" s="11" t="s">
        <v>69</v>
      </c>
      <c r="D76" s="11" t="s">
        <v>70</v>
      </c>
      <c r="E76" s="12">
        <v>0</v>
      </c>
      <c r="F76" s="10">
        <v>46097</v>
      </c>
      <c r="G76" s="13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</row>
    <row r="77" spans="1:12" x14ac:dyDescent="0.25">
      <c r="A77" s="10">
        <v>46098</v>
      </c>
      <c r="B77" s="11" t="s">
        <v>68</v>
      </c>
      <c r="C77" s="11" t="s">
        <v>69</v>
      </c>
      <c r="D77" s="11" t="s">
        <v>70</v>
      </c>
      <c r="E77" s="12">
        <v>0</v>
      </c>
      <c r="F77" s="10">
        <v>46098</v>
      </c>
      <c r="G77" s="13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</row>
    <row r="78" spans="1:12" x14ac:dyDescent="0.25">
      <c r="A78" s="10">
        <v>46099</v>
      </c>
      <c r="B78" s="11" t="s">
        <v>68</v>
      </c>
      <c r="C78" s="11" t="s">
        <v>69</v>
      </c>
      <c r="D78" s="11" t="s">
        <v>70</v>
      </c>
      <c r="E78" s="12">
        <v>0</v>
      </c>
      <c r="F78" s="10">
        <v>46099</v>
      </c>
      <c r="G78" s="13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x14ac:dyDescent="0.25">
      <c r="A79" s="10">
        <v>46100</v>
      </c>
      <c r="B79" s="11" t="s">
        <v>68</v>
      </c>
      <c r="C79" s="11" t="s">
        <v>69</v>
      </c>
      <c r="D79" s="11" t="s">
        <v>70</v>
      </c>
      <c r="E79" s="12">
        <v>0</v>
      </c>
      <c r="F79" s="10">
        <v>46100</v>
      </c>
      <c r="G79" s="13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</row>
    <row r="80" spans="1:12" x14ac:dyDescent="0.25">
      <c r="A80" s="10">
        <v>46101</v>
      </c>
      <c r="B80" s="11" t="s">
        <v>68</v>
      </c>
      <c r="C80" s="11" t="s">
        <v>69</v>
      </c>
      <c r="D80" s="11" t="s">
        <v>70</v>
      </c>
      <c r="E80" s="12">
        <v>0</v>
      </c>
      <c r="F80" s="10">
        <v>46101</v>
      </c>
      <c r="G80" s="13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x14ac:dyDescent="0.25">
      <c r="A81" s="10">
        <v>46102</v>
      </c>
      <c r="B81" s="11" t="s">
        <v>68</v>
      </c>
      <c r="C81" s="11" t="s">
        <v>69</v>
      </c>
      <c r="D81" s="11" t="s">
        <v>70</v>
      </c>
      <c r="E81" s="12">
        <v>0</v>
      </c>
      <c r="F81" s="10">
        <v>46102</v>
      </c>
      <c r="G81" s="13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</row>
    <row r="82" spans="1:12" x14ac:dyDescent="0.25">
      <c r="A82" s="10">
        <v>46103</v>
      </c>
      <c r="B82" s="11" t="s">
        <v>68</v>
      </c>
      <c r="C82" s="11" t="s">
        <v>69</v>
      </c>
      <c r="D82" s="11" t="s">
        <v>70</v>
      </c>
      <c r="E82" s="12">
        <v>0</v>
      </c>
      <c r="F82" s="10">
        <v>46103</v>
      </c>
      <c r="G82" s="13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x14ac:dyDescent="0.25">
      <c r="A83" s="10">
        <v>46104</v>
      </c>
      <c r="B83" s="11" t="s">
        <v>68</v>
      </c>
      <c r="C83" s="11" t="s">
        <v>69</v>
      </c>
      <c r="D83" s="11" t="s">
        <v>70</v>
      </c>
      <c r="E83" s="12">
        <v>0</v>
      </c>
      <c r="F83" s="10">
        <v>46104</v>
      </c>
      <c r="G83" s="13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</row>
    <row r="84" spans="1:12" x14ac:dyDescent="0.25">
      <c r="A84" s="10">
        <v>46105</v>
      </c>
      <c r="B84" s="11" t="s">
        <v>68</v>
      </c>
      <c r="C84" s="11" t="s">
        <v>69</v>
      </c>
      <c r="D84" s="11" t="s">
        <v>70</v>
      </c>
      <c r="E84" s="12">
        <v>0</v>
      </c>
      <c r="F84" s="10">
        <v>46105</v>
      </c>
      <c r="G84" s="13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2" x14ac:dyDescent="0.25">
      <c r="A85" s="10">
        <v>46106</v>
      </c>
      <c r="B85" s="11" t="s">
        <v>68</v>
      </c>
      <c r="C85" s="11" t="s">
        <v>69</v>
      </c>
      <c r="D85" s="11" t="s">
        <v>70</v>
      </c>
      <c r="E85" s="12">
        <v>0</v>
      </c>
      <c r="F85" s="10">
        <v>46106</v>
      </c>
      <c r="G85" s="13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</row>
    <row r="86" spans="1:12" x14ac:dyDescent="0.25">
      <c r="A86" s="10">
        <v>46107</v>
      </c>
      <c r="B86" s="11" t="s">
        <v>68</v>
      </c>
      <c r="C86" s="11" t="s">
        <v>69</v>
      </c>
      <c r="D86" s="11" t="s">
        <v>70</v>
      </c>
      <c r="E86" s="12">
        <v>0</v>
      </c>
      <c r="F86" s="10">
        <v>46107</v>
      </c>
      <c r="G86" s="13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</row>
    <row r="87" spans="1:12" x14ac:dyDescent="0.25">
      <c r="A87" s="10">
        <v>46108</v>
      </c>
      <c r="B87" s="11" t="s">
        <v>68</v>
      </c>
      <c r="C87" s="11" t="s">
        <v>69</v>
      </c>
      <c r="D87" s="11" t="s">
        <v>70</v>
      </c>
      <c r="E87" s="12">
        <v>0</v>
      </c>
      <c r="F87" s="10">
        <v>46108</v>
      </c>
      <c r="G87" s="13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</row>
    <row r="88" spans="1:12" x14ac:dyDescent="0.25">
      <c r="A88" s="10">
        <v>46109</v>
      </c>
      <c r="B88" s="11" t="s">
        <v>68</v>
      </c>
      <c r="C88" s="11" t="s">
        <v>69</v>
      </c>
      <c r="D88" s="11" t="s">
        <v>70</v>
      </c>
      <c r="E88" s="12">
        <v>0</v>
      </c>
      <c r="F88" s="10">
        <v>46109</v>
      </c>
      <c r="G88" s="13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</row>
    <row r="89" spans="1:12" x14ac:dyDescent="0.25">
      <c r="A89" s="10">
        <v>46110</v>
      </c>
      <c r="B89" s="11" t="s">
        <v>68</v>
      </c>
      <c r="C89" s="11" t="s">
        <v>69</v>
      </c>
      <c r="D89" s="11" t="s">
        <v>70</v>
      </c>
      <c r="E89" s="12">
        <v>0</v>
      </c>
      <c r="F89" s="10">
        <v>46110</v>
      </c>
      <c r="G89" s="13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</row>
    <row r="90" spans="1:12" x14ac:dyDescent="0.25">
      <c r="A90" s="10">
        <v>46111</v>
      </c>
      <c r="B90" s="11" t="s">
        <v>68</v>
      </c>
      <c r="C90" s="11" t="s">
        <v>69</v>
      </c>
      <c r="D90" s="11" t="s">
        <v>70</v>
      </c>
      <c r="E90" s="12">
        <v>0</v>
      </c>
      <c r="F90" s="10">
        <v>46111</v>
      </c>
      <c r="G90" s="13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</row>
    <row r="91" spans="1:12" x14ac:dyDescent="0.25">
      <c r="A91" s="10">
        <v>46112</v>
      </c>
      <c r="B91" s="11" t="s">
        <v>68</v>
      </c>
      <c r="C91" s="11" t="s">
        <v>69</v>
      </c>
      <c r="D91" s="11" t="s">
        <v>70</v>
      </c>
      <c r="E91" s="12">
        <v>0</v>
      </c>
      <c r="F91" s="10">
        <v>46112</v>
      </c>
      <c r="G91" s="13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</row>
    <row r="92" spans="1:12" x14ac:dyDescent="0.25">
      <c r="A92" s="10">
        <v>46113</v>
      </c>
      <c r="B92" s="11" t="s">
        <v>68</v>
      </c>
      <c r="C92" s="11" t="s">
        <v>69</v>
      </c>
      <c r="D92" s="11" t="s">
        <v>70</v>
      </c>
      <c r="E92" s="12">
        <v>0</v>
      </c>
      <c r="F92" s="10">
        <v>46113</v>
      </c>
      <c r="G92" s="13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</row>
    <row r="93" spans="1:12" x14ac:dyDescent="0.25">
      <c r="A93" s="10">
        <v>46114</v>
      </c>
      <c r="B93" s="11" t="s">
        <v>68</v>
      </c>
      <c r="C93" s="11" t="s">
        <v>69</v>
      </c>
      <c r="D93" s="11" t="s">
        <v>70</v>
      </c>
      <c r="E93" s="12">
        <v>0</v>
      </c>
      <c r="F93" s="10">
        <v>46114</v>
      </c>
      <c r="G93" s="13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</row>
    <row r="94" spans="1:12" x14ac:dyDescent="0.25">
      <c r="A94" s="10">
        <v>46115</v>
      </c>
      <c r="B94" s="11" t="s">
        <v>68</v>
      </c>
      <c r="C94" s="11" t="s">
        <v>69</v>
      </c>
      <c r="D94" s="11" t="s">
        <v>70</v>
      </c>
      <c r="E94" s="12">
        <v>0</v>
      </c>
      <c r="F94" s="10">
        <v>46115</v>
      </c>
      <c r="G94" s="13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</row>
    <row r="95" spans="1:12" x14ac:dyDescent="0.25">
      <c r="A95" s="10">
        <v>46116</v>
      </c>
      <c r="B95" s="11" t="s">
        <v>68</v>
      </c>
      <c r="C95" s="11" t="s">
        <v>69</v>
      </c>
      <c r="D95" s="11" t="s">
        <v>70</v>
      </c>
      <c r="E95" s="12">
        <v>0</v>
      </c>
      <c r="F95" s="10">
        <v>46116</v>
      </c>
      <c r="G95" s="13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</row>
    <row r="96" spans="1:12" x14ac:dyDescent="0.25">
      <c r="A96" s="10">
        <v>46117</v>
      </c>
      <c r="B96" s="11" t="s">
        <v>68</v>
      </c>
      <c r="C96" s="11" t="s">
        <v>69</v>
      </c>
      <c r="D96" s="11" t="s">
        <v>70</v>
      </c>
      <c r="E96" s="12">
        <v>0</v>
      </c>
      <c r="F96" s="10">
        <v>46117</v>
      </c>
      <c r="G96" s="13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</row>
    <row r="97" spans="1:12" x14ac:dyDescent="0.25">
      <c r="A97" s="10">
        <v>46118</v>
      </c>
      <c r="B97" s="11" t="s">
        <v>68</v>
      </c>
      <c r="C97" s="11" t="s">
        <v>69</v>
      </c>
      <c r="D97" s="11" t="s">
        <v>70</v>
      </c>
      <c r="E97" s="12">
        <v>0</v>
      </c>
      <c r="F97" s="10">
        <v>46118</v>
      </c>
      <c r="G97" s="13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</row>
    <row r="98" spans="1:12" x14ac:dyDescent="0.25">
      <c r="A98" s="10">
        <v>46119</v>
      </c>
      <c r="B98" s="11" t="s">
        <v>68</v>
      </c>
      <c r="C98" s="11" t="s">
        <v>69</v>
      </c>
      <c r="D98" s="11" t="s">
        <v>70</v>
      </c>
      <c r="E98" s="12">
        <v>0</v>
      </c>
      <c r="F98" s="10">
        <v>46119</v>
      </c>
      <c r="G98" s="13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</row>
    <row r="99" spans="1:12" x14ac:dyDescent="0.25">
      <c r="A99" s="10">
        <v>46120</v>
      </c>
      <c r="B99" s="11" t="s">
        <v>68</v>
      </c>
      <c r="C99" s="11" t="s">
        <v>69</v>
      </c>
      <c r="D99" s="11" t="s">
        <v>70</v>
      </c>
      <c r="E99" s="12">
        <v>0</v>
      </c>
      <c r="F99" s="10">
        <v>46120</v>
      </c>
      <c r="G99" s="13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</row>
    <row r="100" spans="1:12" x14ac:dyDescent="0.25">
      <c r="A100" s="10">
        <v>46121</v>
      </c>
      <c r="B100" s="11" t="s">
        <v>68</v>
      </c>
      <c r="C100" s="11" t="s">
        <v>69</v>
      </c>
      <c r="D100" s="11" t="s">
        <v>70</v>
      </c>
      <c r="E100" s="12">
        <v>0</v>
      </c>
      <c r="F100" s="10">
        <v>46121</v>
      </c>
      <c r="G100" s="13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</row>
    <row r="101" spans="1:12" x14ac:dyDescent="0.25">
      <c r="A101" s="10">
        <v>46122</v>
      </c>
      <c r="B101" s="11" t="s">
        <v>68</v>
      </c>
      <c r="C101" s="11" t="s">
        <v>69</v>
      </c>
      <c r="D101" s="11" t="s">
        <v>70</v>
      </c>
      <c r="E101" s="12">
        <v>0</v>
      </c>
      <c r="F101" s="10">
        <v>46122</v>
      </c>
      <c r="G101" s="13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</row>
    <row r="102" spans="1:12" x14ac:dyDescent="0.25">
      <c r="A102" s="10">
        <v>46123</v>
      </c>
      <c r="B102" s="11" t="s">
        <v>68</v>
      </c>
      <c r="C102" s="11" t="s">
        <v>69</v>
      </c>
      <c r="D102" s="11" t="s">
        <v>70</v>
      </c>
      <c r="E102" s="12">
        <v>0</v>
      </c>
      <c r="F102" s="10">
        <v>46123</v>
      </c>
      <c r="G102" s="13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</row>
    <row r="103" spans="1:12" x14ac:dyDescent="0.25">
      <c r="A103" s="10">
        <v>46124</v>
      </c>
      <c r="B103" s="11" t="s">
        <v>68</v>
      </c>
      <c r="C103" s="11" t="s">
        <v>69</v>
      </c>
      <c r="D103" s="11" t="s">
        <v>70</v>
      </c>
      <c r="E103" s="12">
        <v>0</v>
      </c>
      <c r="F103" s="10">
        <v>46124</v>
      </c>
      <c r="G103" s="13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</row>
    <row r="104" spans="1:12" x14ac:dyDescent="0.25">
      <c r="A104" s="10">
        <v>46125</v>
      </c>
      <c r="B104" s="11" t="s">
        <v>68</v>
      </c>
      <c r="C104" s="11" t="s">
        <v>69</v>
      </c>
      <c r="D104" s="11" t="s">
        <v>70</v>
      </c>
      <c r="E104" s="12">
        <v>0</v>
      </c>
      <c r="F104" s="10">
        <v>46125</v>
      </c>
      <c r="G104" s="13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</row>
    <row r="105" spans="1:12" x14ac:dyDescent="0.25">
      <c r="A105" s="10">
        <v>46126</v>
      </c>
      <c r="B105" s="11" t="s">
        <v>68</v>
      </c>
      <c r="C105" s="11" t="s">
        <v>69</v>
      </c>
      <c r="D105" s="11" t="s">
        <v>70</v>
      </c>
      <c r="E105" s="12">
        <v>0</v>
      </c>
      <c r="F105" s="10">
        <v>46126</v>
      </c>
      <c r="G105" s="13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</row>
    <row r="106" spans="1:12" x14ac:dyDescent="0.25">
      <c r="A106" s="10">
        <v>46127</v>
      </c>
      <c r="B106" s="11" t="s">
        <v>68</v>
      </c>
      <c r="C106" s="11" t="s">
        <v>69</v>
      </c>
      <c r="D106" s="11" t="s">
        <v>70</v>
      </c>
      <c r="E106" s="12">
        <v>0</v>
      </c>
      <c r="F106" s="10">
        <v>46127</v>
      </c>
      <c r="G106" s="13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</row>
    <row r="107" spans="1:12" x14ac:dyDescent="0.25">
      <c r="A107" s="10">
        <v>46128</v>
      </c>
      <c r="B107" s="11" t="s">
        <v>68</v>
      </c>
      <c r="C107" s="11" t="s">
        <v>69</v>
      </c>
      <c r="D107" s="11" t="s">
        <v>70</v>
      </c>
      <c r="E107" s="12">
        <v>0</v>
      </c>
      <c r="F107" s="10">
        <v>46128</v>
      </c>
      <c r="G107" s="13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</row>
    <row r="108" spans="1:12" x14ac:dyDescent="0.25">
      <c r="A108" s="10">
        <v>46129</v>
      </c>
      <c r="B108" s="11" t="s">
        <v>68</v>
      </c>
      <c r="C108" s="11" t="s">
        <v>69</v>
      </c>
      <c r="D108" s="11" t="s">
        <v>70</v>
      </c>
      <c r="E108" s="12">
        <v>0</v>
      </c>
      <c r="F108" s="10">
        <v>46129</v>
      </c>
      <c r="G108" s="13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</row>
    <row r="109" spans="1:12" x14ac:dyDescent="0.25">
      <c r="A109" s="10">
        <v>46130</v>
      </c>
      <c r="B109" s="11" t="s">
        <v>68</v>
      </c>
      <c r="C109" s="11" t="s">
        <v>69</v>
      </c>
      <c r="D109" s="11" t="s">
        <v>70</v>
      </c>
      <c r="E109" s="12">
        <v>0</v>
      </c>
      <c r="F109" s="10">
        <v>46130</v>
      </c>
      <c r="G109" s="13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</row>
    <row r="110" spans="1:12" x14ac:dyDescent="0.25">
      <c r="A110" s="10">
        <v>46131</v>
      </c>
      <c r="B110" s="11" t="s">
        <v>68</v>
      </c>
      <c r="C110" s="11" t="s">
        <v>69</v>
      </c>
      <c r="D110" s="11" t="s">
        <v>70</v>
      </c>
      <c r="E110" s="12">
        <v>0</v>
      </c>
      <c r="F110" s="10">
        <v>46131</v>
      </c>
      <c r="G110" s="13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</row>
    <row r="111" spans="1:12" x14ac:dyDescent="0.25">
      <c r="A111" s="10">
        <v>46132</v>
      </c>
      <c r="B111" s="11" t="s">
        <v>68</v>
      </c>
      <c r="C111" s="11" t="s">
        <v>69</v>
      </c>
      <c r="D111" s="11" t="s">
        <v>70</v>
      </c>
      <c r="E111" s="12">
        <v>0</v>
      </c>
      <c r="F111" s="10">
        <v>46132</v>
      </c>
      <c r="G111" s="13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</row>
    <row r="112" spans="1:12" x14ac:dyDescent="0.25">
      <c r="A112" s="10">
        <v>46133</v>
      </c>
      <c r="B112" s="11" t="s">
        <v>68</v>
      </c>
      <c r="C112" s="11" t="s">
        <v>69</v>
      </c>
      <c r="D112" s="11" t="s">
        <v>70</v>
      </c>
      <c r="E112" s="12">
        <v>0</v>
      </c>
      <c r="F112" s="10">
        <v>46133</v>
      </c>
      <c r="G112" s="13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</row>
    <row r="113" spans="1:12" x14ac:dyDescent="0.25">
      <c r="A113" s="10">
        <v>46134</v>
      </c>
      <c r="B113" s="11" t="s">
        <v>68</v>
      </c>
      <c r="C113" s="11" t="s">
        <v>69</v>
      </c>
      <c r="D113" s="11" t="s">
        <v>70</v>
      </c>
      <c r="E113" s="12">
        <v>0</v>
      </c>
      <c r="F113" s="10">
        <v>46134</v>
      </c>
      <c r="G113" s="13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</row>
    <row r="114" spans="1:12" x14ac:dyDescent="0.25">
      <c r="A114" s="10">
        <v>46135</v>
      </c>
      <c r="B114" s="11" t="s">
        <v>68</v>
      </c>
      <c r="C114" s="11" t="s">
        <v>69</v>
      </c>
      <c r="D114" s="11" t="s">
        <v>70</v>
      </c>
      <c r="E114" s="12">
        <v>0</v>
      </c>
      <c r="F114" s="10">
        <v>46135</v>
      </c>
      <c r="G114" s="13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</row>
    <row r="115" spans="1:12" x14ac:dyDescent="0.25">
      <c r="A115" s="10">
        <v>46136</v>
      </c>
      <c r="B115" s="11" t="s">
        <v>68</v>
      </c>
      <c r="C115" s="11" t="s">
        <v>69</v>
      </c>
      <c r="D115" s="11" t="s">
        <v>70</v>
      </c>
      <c r="E115" s="12">
        <v>0</v>
      </c>
      <c r="F115" s="10">
        <v>46136</v>
      </c>
      <c r="G115" s="13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</row>
    <row r="116" spans="1:12" x14ac:dyDescent="0.25">
      <c r="A116" s="10">
        <v>46137</v>
      </c>
      <c r="B116" s="11" t="s">
        <v>68</v>
      </c>
      <c r="C116" s="11" t="s">
        <v>69</v>
      </c>
      <c r="D116" s="11" t="s">
        <v>70</v>
      </c>
      <c r="E116" s="12">
        <v>0</v>
      </c>
      <c r="F116" s="10">
        <v>46137</v>
      </c>
      <c r="G116" s="13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</row>
    <row r="117" spans="1:12" x14ac:dyDescent="0.25">
      <c r="A117" s="10">
        <v>46138</v>
      </c>
      <c r="B117" s="11" t="s">
        <v>68</v>
      </c>
      <c r="C117" s="11" t="s">
        <v>69</v>
      </c>
      <c r="D117" s="11" t="s">
        <v>70</v>
      </c>
      <c r="E117" s="12">
        <v>0</v>
      </c>
      <c r="F117" s="10">
        <v>46138</v>
      </c>
      <c r="G117" s="13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</row>
    <row r="118" spans="1:12" x14ac:dyDescent="0.25">
      <c r="A118" s="10">
        <v>46139</v>
      </c>
      <c r="B118" s="11" t="s">
        <v>68</v>
      </c>
      <c r="C118" s="11" t="s">
        <v>69</v>
      </c>
      <c r="D118" s="11" t="s">
        <v>70</v>
      </c>
      <c r="E118" s="12">
        <v>0</v>
      </c>
      <c r="F118" s="10">
        <v>46139</v>
      </c>
      <c r="G118" s="13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</row>
    <row r="119" spans="1:12" x14ac:dyDescent="0.25">
      <c r="A119" s="10">
        <v>46140</v>
      </c>
      <c r="B119" s="11" t="s">
        <v>68</v>
      </c>
      <c r="C119" s="11" t="s">
        <v>69</v>
      </c>
      <c r="D119" s="11" t="s">
        <v>70</v>
      </c>
      <c r="E119" s="12">
        <v>0</v>
      </c>
      <c r="F119" s="10">
        <v>46140</v>
      </c>
      <c r="G119" s="13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</row>
    <row r="120" spans="1:12" x14ac:dyDescent="0.25">
      <c r="A120" s="10">
        <v>46141</v>
      </c>
      <c r="B120" s="11" t="s">
        <v>68</v>
      </c>
      <c r="C120" s="11" t="s">
        <v>69</v>
      </c>
      <c r="D120" s="11" t="s">
        <v>70</v>
      </c>
      <c r="E120" s="12">
        <v>0</v>
      </c>
      <c r="F120" s="10">
        <v>46141</v>
      </c>
      <c r="G120" s="13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</row>
    <row r="121" spans="1:12" x14ac:dyDescent="0.25">
      <c r="A121" s="10">
        <v>46142</v>
      </c>
      <c r="B121" s="11" t="s">
        <v>68</v>
      </c>
      <c r="C121" s="11" t="s">
        <v>69</v>
      </c>
      <c r="D121" s="11" t="s">
        <v>70</v>
      </c>
      <c r="E121" s="12">
        <v>0</v>
      </c>
      <c r="F121" s="10">
        <v>46142</v>
      </c>
      <c r="G121" s="13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</row>
    <row r="122" spans="1:12" x14ac:dyDescent="0.25">
      <c r="A122" s="10">
        <v>46143</v>
      </c>
      <c r="B122" s="11" t="s">
        <v>68</v>
      </c>
      <c r="C122" s="11" t="s">
        <v>69</v>
      </c>
      <c r="D122" s="11" t="s">
        <v>70</v>
      </c>
      <c r="E122" s="12">
        <v>0</v>
      </c>
      <c r="F122" s="10">
        <v>46143</v>
      </c>
      <c r="G122" s="13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</row>
    <row r="123" spans="1:12" x14ac:dyDescent="0.25">
      <c r="A123" s="10">
        <v>46144</v>
      </c>
      <c r="B123" s="11" t="s">
        <v>68</v>
      </c>
      <c r="C123" s="11" t="s">
        <v>69</v>
      </c>
      <c r="D123" s="11" t="s">
        <v>70</v>
      </c>
      <c r="E123" s="12">
        <v>0</v>
      </c>
      <c r="F123" s="10">
        <v>46144</v>
      </c>
      <c r="G123" s="13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</row>
    <row r="124" spans="1:12" x14ac:dyDescent="0.25">
      <c r="A124" s="10">
        <v>46145</v>
      </c>
      <c r="B124" s="11" t="s">
        <v>68</v>
      </c>
      <c r="C124" s="11" t="s">
        <v>69</v>
      </c>
      <c r="D124" s="11" t="s">
        <v>70</v>
      </c>
      <c r="E124" s="12">
        <v>0</v>
      </c>
      <c r="F124" s="10">
        <v>46145</v>
      </c>
      <c r="G124" s="13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</row>
    <row r="125" spans="1:12" x14ac:dyDescent="0.25">
      <c r="A125" s="10">
        <v>46146</v>
      </c>
      <c r="B125" s="11" t="s">
        <v>68</v>
      </c>
      <c r="C125" s="11" t="s">
        <v>69</v>
      </c>
      <c r="D125" s="11" t="s">
        <v>70</v>
      </c>
      <c r="E125" s="12">
        <v>0</v>
      </c>
      <c r="F125" s="10">
        <v>46146</v>
      </c>
      <c r="G125" s="13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</row>
    <row r="126" spans="1:12" x14ac:dyDescent="0.25">
      <c r="A126" s="10">
        <v>46147</v>
      </c>
      <c r="B126" s="11" t="s">
        <v>68</v>
      </c>
      <c r="C126" s="11" t="s">
        <v>69</v>
      </c>
      <c r="D126" s="11" t="s">
        <v>70</v>
      </c>
      <c r="E126" s="12">
        <v>0</v>
      </c>
      <c r="F126" s="10">
        <v>46147</v>
      </c>
      <c r="G126" s="13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</row>
    <row r="127" spans="1:12" x14ac:dyDescent="0.25">
      <c r="A127" s="10">
        <v>46148</v>
      </c>
      <c r="B127" s="11" t="s">
        <v>68</v>
      </c>
      <c r="C127" s="11" t="s">
        <v>69</v>
      </c>
      <c r="D127" s="11" t="s">
        <v>70</v>
      </c>
      <c r="E127" s="12">
        <v>0</v>
      </c>
      <c r="F127" s="10">
        <v>46148</v>
      </c>
      <c r="G127" s="13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</row>
    <row r="128" spans="1:12" x14ac:dyDescent="0.25">
      <c r="A128" s="10">
        <v>46149</v>
      </c>
      <c r="B128" s="11" t="s">
        <v>68</v>
      </c>
      <c r="C128" s="11" t="s">
        <v>69</v>
      </c>
      <c r="D128" s="11" t="s">
        <v>70</v>
      </c>
      <c r="E128" s="12">
        <v>0</v>
      </c>
      <c r="F128" s="10">
        <v>46149</v>
      </c>
      <c r="G128" s="13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</row>
    <row r="129" spans="1:12" x14ac:dyDescent="0.25">
      <c r="A129" s="10">
        <v>46150</v>
      </c>
      <c r="B129" s="11" t="s">
        <v>68</v>
      </c>
      <c r="C129" s="11" t="s">
        <v>69</v>
      </c>
      <c r="D129" s="11" t="s">
        <v>70</v>
      </c>
      <c r="E129" s="12">
        <v>0</v>
      </c>
      <c r="F129" s="10">
        <v>46150</v>
      </c>
      <c r="G129" s="13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</row>
    <row r="130" spans="1:12" x14ac:dyDescent="0.25">
      <c r="A130" s="10">
        <v>46151</v>
      </c>
      <c r="B130" s="11" t="s">
        <v>68</v>
      </c>
      <c r="C130" s="11" t="s">
        <v>69</v>
      </c>
      <c r="D130" s="11" t="s">
        <v>70</v>
      </c>
      <c r="E130" s="12">
        <v>0</v>
      </c>
      <c r="F130" s="10">
        <v>46151</v>
      </c>
      <c r="G130" s="13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</row>
    <row r="131" spans="1:12" x14ac:dyDescent="0.25">
      <c r="A131" s="10">
        <v>46152</v>
      </c>
      <c r="B131" s="11" t="s">
        <v>68</v>
      </c>
      <c r="C131" s="11" t="s">
        <v>69</v>
      </c>
      <c r="D131" s="11" t="s">
        <v>70</v>
      </c>
      <c r="E131" s="12">
        <v>0</v>
      </c>
      <c r="F131" s="10">
        <v>46152</v>
      </c>
      <c r="G131" s="13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</row>
    <row r="132" spans="1:12" x14ac:dyDescent="0.25">
      <c r="A132" s="10">
        <v>46153</v>
      </c>
      <c r="B132" s="11" t="s">
        <v>68</v>
      </c>
      <c r="C132" s="11" t="s">
        <v>69</v>
      </c>
      <c r="D132" s="11" t="s">
        <v>70</v>
      </c>
      <c r="E132" s="12">
        <v>0</v>
      </c>
      <c r="F132" s="10">
        <v>46153</v>
      </c>
      <c r="G132" s="13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</row>
    <row r="133" spans="1:12" x14ac:dyDescent="0.25">
      <c r="A133" s="10">
        <v>46154</v>
      </c>
      <c r="B133" s="11" t="s">
        <v>68</v>
      </c>
      <c r="C133" s="11" t="s">
        <v>69</v>
      </c>
      <c r="D133" s="11" t="s">
        <v>70</v>
      </c>
      <c r="E133" s="12">
        <v>0</v>
      </c>
      <c r="F133" s="10">
        <v>46154</v>
      </c>
      <c r="G133" s="13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</row>
    <row r="134" spans="1:12" x14ac:dyDescent="0.25">
      <c r="A134" s="10">
        <v>46155</v>
      </c>
      <c r="B134" s="11" t="s">
        <v>68</v>
      </c>
      <c r="C134" s="11" t="s">
        <v>69</v>
      </c>
      <c r="D134" s="11" t="s">
        <v>70</v>
      </c>
      <c r="E134" s="12">
        <v>0</v>
      </c>
      <c r="F134" s="10">
        <v>46155</v>
      </c>
      <c r="G134" s="13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</row>
    <row r="135" spans="1:12" x14ac:dyDescent="0.25">
      <c r="A135" s="10">
        <v>46156</v>
      </c>
      <c r="B135" s="11" t="s">
        <v>68</v>
      </c>
      <c r="C135" s="11" t="s">
        <v>69</v>
      </c>
      <c r="D135" s="11" t="s">
        <v>70</v>
      </c>
      <c r="E135" s="12">
        <v>0</v>
      </c>
      <c r="F135" s="10">
        <v>46156</v>
      </c>
      <c r="G135" s="13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</row>
    <row r="136" spans="1:12" x14ac:dyDescent="0.25">
      <c r="A136" s="10">
        <v>46157</v>
      </c>
      <c r="B136" s="11" t="s">
        <v>68</v>
      </c>
      <c r="C136" s="11" t="s">
        <v>69</v>
      </c>
      <c r="D136" s="11" t="s">
        <v>70</v>
      </c>
      <c r="E136" s="12">
        <v>0</v>
      </c>
      <c r="F136" s="10">
        <v>46157</v>
      </c>
      <c r="G136" s="13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</row>
    <row r="137" spans="1:12" x14ac:dyDescent="0.25">
      <c r="A137" s="10">
        <v>46158</v>
      </c>
      <c r="B137" s="11" t="s">
        <v>68</v>
      </c>
      <c r="C137" s="11" t="s">
        <v>69</v>
      </c>
      <c r="D137" s="11" t="s">
        <v>70</v>
      </c>
      <c r="E137" s="12">
        <v>0</v>
      </c>
      <c r="F137" s="10">
        <v>46158</v>
      </c>
      <c r="G137" s="13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</row>
    <row r="138" spans="1:12" x14ac:dyDescent="0.25">
      <c r="A138" s="10">
        <v>46159</v>
      </c>
      <c r="B138" s="11" t="s">
        <v>68</v>
      </c>
      <c r="C138" s="11" t="s">
        <v>69</v>
      </c>
      <c r="D138" s="11" t="s">
        <v>70</v>
      </c>
      <c r="E138" s="12">
        <v>0</v>
      </c>
      <c r="F138" s="10">
        <v>46159</v>
      </c>
      <c r="G138" s="13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</row>
    <row r="139" spans="1:12" x14ac:dyDescent="0.25">
      <c r="A139" s="10">
        <v>46160</v>
      </c>
      <c r="B139" s="11" t="s">
        <v>68</v>
      </c>
      <c r="C139" s="11" t="s">
        <v>69</v>
      </c>
      <c r="D139" s="11" t="s">
        <v>70</v>
      </c>
      <c r="E139" s="12">
        <v>0</v>
      </c>
      <c r="F139" s="10">
        <v>46160</v>
      </c>
      <c r="G139" s="13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</row>
    <row r="140" spans="1:12" x14ac:dyDescent="0.25">
      <c r="A140" s="10">
        <v>46161</v>
      </c>
      <c r="B140" s="11" t="s">
        <v>68</v>
      </c>
      <c r="C140" s="11" t="s">
        <v>69</v>
      </c>
      <c r="D140" s="11" t="s">
        <v>70</v>
      </c>
      <c r="E140" s="12">
        <v>0</v>
      </c>
      <c r="F140" s="10">
        <v>46161</v>
      </c>
      <c r="G140" s="13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</row>
    <row r="141" spans="1:12" x14ac:dyDescent="0.25">
      <c r="A141" s="10">
        <v>46162</v>
      </c>
      <c r="B141" s="11" t="s">
        <v>68</v>
      </c>
      <c r="C141" s="11" t="s">
        <v>69</v>
      </c>
      <c r="D141" s="11" t="s">
        <v>70</v>
      </c>
      <c r="E141" s="12">
        <v>0</v>
      </c>
      <c r="F141" s="10">
        <v>46162</v>
      </c>
      <c r="G141" s="13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</row>
    <row r="142" spans="1:12" x14ac:dyDescent="0.25">
      <c r="A142" s="10">
        <v>46163</v>
      </c>
      <c r="B142" s="11" t="s">
        <v>68</v>
      </c>
      <c r="C142" s="11" t="s">
        <v>69</v>
      </c>
      <c r="D142" s="11" t="s">
        <v>70</v>
      </c>
      <c r="E142" s="12">
        <v>200000</v>
      </c>
      <c r="F142" s="10">
        <v>46163</v>
      </c>
      <c r="G142" s="13">
        <v>6</v>
      </c>
      <c r="H142" s="12">
        <v>1200000</v>
      </c>
      <c r="I142" s="12">
        <v>1200000</v>
      </c>
      <c r="J142" s="12">
        <v>0</v>
      </c>
      <c r="K142" s="12">
        <v>1200000</v>
      </c>
      <c r="L142" s="12">
        <v>0</v>
      </c>
    </row>
    <row r="143" spans="1:12" x14ac:dyDescent="0.25">
      <c r="A143" s="10">
        <v>46164</v>
      </c>
      <c r="B143" s="11" t="s">
        <v>68</v>
      </c>
      <c r="C143" s="11" t="s">
        <v>69</v>
      </c>
      <c r="D143" s="11" t="s">
        <v>70</v>
      </c>
      <c r="E143" s="12">
        <v>0</v>
      </c>
      <c r="F143" s="10">
        <v>46164</v>
      </c>
      <c r="G143" s="13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</row>
    <row r="144" spans="1:12" x14ac:dyDescent="0.25">
      <c r="A144" s="10">
        <v>46165</v>
      </c>
      <c r="B144" s="11" t="s">
        <v>68</v>
      </c>
      <c r="C144" s="11" t="s">
        <v>69</v>
      </c>
      <c r="D144" s="11" t="s">
        <v>70</v>
      </c>
      <c r="E144" s="12">
        <v>0</v>
      </c>
      <c r="F144" s="10">
        <v>46165</v>
      </c>
      <c r="G144" s="13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</row>
    <row r="145" spans="1:12" x14ac:dyDescent="0.25">
      <c r="A145" s="10">
        <v>46166</v>
      </c>
      <c r="B145" s="11" t="s">
        <v>68</v>
      </c>
      <c r="C145" s="11" t="s">
        <v>69</v>
      </c>
      <c r="D145" s="11" t="s">
        <v>70</v>
      </c>
      <c r="E145" s="12">
        <v>0</v>
      </c>
      <c r="F145" s="10">
        <v>46166</v>
      </c>
      <c r="G145" s="13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</row>
    <row r="146" spans="1:12" x14ac:dyDescent="0.25">
      <c r="A146" s="10">
        <v>46167</v>
      </c>
      <c r="B146" s="11" t="s">
        <v>68</v>
      </c>
      <c r="C146" s="11" t="s">
        <v>69</v>
      </c>
      <c r="D146" s="11" t="s">
        <v>70</v>
      </c>
      <c r="E146" s="12">
        <v>0</v>
      </c>
      <c r="F146" s="10">
        <v>46167</v>
      </c>
      <c r="G146" s="13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</row>
    <row r="147" spans="1:12" x14ac:dyDescent="0.25">
      <c r="A147" s="10">
        <v>46168</v>
      </c>
      <c r="B147" s="11" t="s">
        <v>68</v>
      </c>
      <c r="C147" s="11" t="s">
        <v>69</v>
      </c>
      <c r="D147" s="11" t="s">
        <v>70</v>
      </c>
      <c r="E147" s="12">
        <v>0</v>
      </c>
      <c r="F147" s="10">
        <v>46168</v>
      </c>
      <c r="G147" s="13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</row>
    <row r="148" spans="1:12" x14ac:dyDescent="0.25">
      <c r="A148" s="10">
        <v>46169</v>
      </c>
      <c r="B148" s="11" t="s">
        <v>68</v>
      </c>
      <c r="C148" s="11" t="s">
        <v>69</v>
      </c>
      <c r="D148" s="11" t="s">
        <v>70</v>
      </c>
      <c r="E148" s="12">
        <v>0</v>
      </c>
      <c r="F148" s="10">
        <v>46169</v>
      </c>
      <c r="G148" s="13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</row>
    <row r="149" spans="1:12" x14ac:dyDescent="0.25">
      <c r="A149" s="10">
        <v>46170</v>
      </c>
      <c r="B149" s="11" t="s">
        <v>68</v>
      </c>
      <c r="C149" s="11" t="s">
        <v>69</v>
      </c>
      <c r="D149" s="11" t="s">
        <v>70</v>
      </c>
      <c r="E149" s="12">
        <v>0</v>
      </c>
      <c r="F149" s="10">
        <v>46170</v>
      </c>
      <c r="G149" s="13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/>
  </sheetViews>
  <sheetFormatPr defaultRowHeight="15" x14ac:dyDescent="0.25"/>
  <cols>
    <col min="1" max="1" width="25" customWidth="1"/>
    <col min="2" max="2" width="40" customWidth="1"/>
    <col min="3" max="3" width="5" customWidth="1"/>
    <col min="4" max="4" width="25" customWidth="1"/>
    <col min="5" max="5" width="40" customWidth="1"/>
    <col min="6" max="6" width="5" customWidth="1"/>
    <col min="7" max="7" width="25" customWidth="1"/>
    <col min="8" max="8" width="40" customWidth="1"/>
    <col min="9" max="9" width="5" customWidth="1"/>
    <col min="10" max="10" width="50" customWidth="1"/>
    <col min="11" max="11" width="40" customWidth="1"/>
  </cols>
  <sheetData>
    <row r="1" spans="1:11" x14ac:dyDescent="0.25">
      <c r="A1" s="1" t="s">
        <v>13</v>
      </c>
      <c r="B1" s="1" t="s">
        <v>14</v>
      </c>
      <c r="C1" s="1" t="s">
        <v>11</v>
      </c>
      <c r="D1" s="1" t="s">
        <v>15</v>
      </c>
      <c r="E1" s="1" t="s">
        <v>16</v>
      </c>
      <c r="F1" s="1" t="s">
        <v>11</v>
      </c>
      <c r="G1" s="1" t="s">
        <v>17</v>
      </c>
      <c r="H1" s="1" t="s">
        <v>18</v>
      </c>
      <c r="I1" s="1" t="s">
        <v>11</v>
      </c>
      <c r="J1" s="1" t="s">
        <v>19</v>
      </c>
      <c r="K1" s="1" t="s">
        <v>20</v>
      </c>
    </row>
    <row r="2" spans="1:11" x14ac:dyDescent="0.25">
      <c r="A2" t="s">
        <v>21</v>
      </c>
      <c r="B2" t="s">
        <v>22</v>
      </c>
      <c r="C2" t="s">
        <v>11</v>
      </c>
      <c r="D2" t="s">
        <v>23</v>
      </c>
      <c r="E2" t="s">
        <v>24</v>
      </c>
      <c r="F2" t="s">
        <v>11</v>
      </c>
      <c r="G2" t="s">
        <v>25</v>
      </c>
      <c r="H2" t="s">
        <v>26</v>
      </c>
      <c r="I2" t="s">
        <v>11</v>
      </c>
      <c r="J2" t="s">
        <v>27</v>
      </c>
      <c r="K2" t="s">
        <v>73</v>
      </c>
    </row>
    <row r="3" spans="1:11" x14ac:dyDescent="0.25">
      <c r="A3" t="s">
        <v>28</v>
      </c>
      <c r="B3" t="s">
        <v>29</v>
      </c>
      <c r="C3" t="s">
        <v>11</v>
      </c>
      <c r="D3" t="s">
        <v>30</v>
      </c>
      <c r="E3" t="s">
        <v>11</v>
      </c>
      <c r="F3" t="s">
        <v>11</v>
      </c>
      <c r="G3" t="s">
        <v>31</v>
      </c>
      <c r="H3" t="s">
        <v>74</v>
      </c>
      <c r="I3" t="s">
        <v>11</v>
      </c>
      <c r="J3" t="s">
        <v>11</v>
      </c>
      <c r="K3" t="s">
        <v>11</v>
      </c>
    </row>
    <row r="4" spans="1:11" x14ac:dyDescent="0.25">
      <c r="A4" t="s">
        <v>32</v>
      </c>
      <c r="B4" t="s">
        <v>33</v>
      </c>
      <c r="C4" t="s">
        <v>11</v>
      </c>
      <c r="D4" t="s">
        <v>34</v>
      </c>
      <c r="E4" t="s">
        <v>35</v>
      </c>
      <c r="F4" t="s">
        <v>11</v>
      </c>
      <c r="G4" t="s">
        <v>36</v>
      </c>
      <c r="H4" t="s">
        <v>71</v>
      </c>
      <c r="I4" t="s">
        <v>11</v>
      </c>
      <c r="J4" t="s">
        <v>11</v>
      </c>
      <c r="K4" t="s">
        <v>11</v>
      </c>
    </row>
    <row r="5" spans="1:11" x14ac:dyDescent="0.25">
      <c r="A5" t="s">
        <v>37</v>
      </c>
      <c r="B5" t="s">
        <v>72</v>
      </c>
      <c r="C5" t="s">
        <v>11</v>
      </c>
      <c r="D5" t="s">
        <v>38</v>
      </c>
      <c r="E5" t="s">
        <v>39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 spans="1:11" x14ac:dyDescent="0.25">
      <c r="A6" t="s">
        <v>40</v>
      </c>
      <c r="B6">
        <v>70035</v>
      </c>
      <c r="C6" t="s">
        <v>11</v>
      </c>
      <c r="D6" t="s">
        <v>41</v>
      </c>
      <c r="E6" t="s">
        <v>42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 spans="1:11" x14ac:dyDescent="0.25">
      <c r="A7" t="s">
        <v>43</v>
      </c>
      <c r="B7" t="s">
        <v>44</v>
      </c>
      <c r="C7" t="s">
        <v>11</v>
      </c>
      <c r="D7" t="s">
        <v>45</v>
      </c>
      <c r="E7" t="s">
        <v>46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 spans="1:11" x14ac:dyDescent="0.25">
      <c r="A8" t="s">
        <v>47</v>
      </c>
      <c r="B8" t="s">
        <v>11</v>
      </c>
      <c r="C8" t="s">
        <v>11</v>
      </c>
      <c r="D8" t="s">
        <v>48</v>
      </c>
      <c r="E8" s="10">
        <v>46170.28767287037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 spans="1:11" x14ac:dyDescent="0.25">
      <c r="A9" t="s">
        <v>49</v>
      </c>
      <c r="B9" t="s">
        <v>11</v>
      </c>
      <c r="C9" t="s">
        <v>11</v>
      </c>
      <c r="D9" t="s">
        <v>50</v>
      </c>
      <c r="E9">
        <v>1033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 spans="1:11" x14ac:dyDescent="0.25">
      <c r="A10" t="s">
        <v>51</v>
      </c>
      <c r="B10" t="s">
        <v>11</v>
      </c>
      <c r="C10" t="s">
        <v>11</v>
      </c>
      <c r="D10" t="s">
        <v>52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5" x14ac:dyDescent="0.25"/>
  <cols>
    <col min="1" max="2" width="25" customWidth="1"/>
    <col min="3" max="3" width="40" customWidth="1"/>
  </cols>
  <sheetData>
    <row r="1" spans="1:3" x14ac:dyDescent="0.25">
      <c r="A1" s="1" t="s">
        <v>53</v>
      </c>
      <c r="B1" s="1" t="s">
        <v>50</v>
      </c>
      <c r="C1" s="1" t="s">
        <v>12</v>
      </c>
    </row>
    <row r="2" spans="1:3" x14ac:dyDescent="0.25">
      <c r="A2" t="s">
        <v>11</v>
      </c>
      <c r="B2" t="s">
        <v>11</v>
      </c>
      <c r="C2" t="s">
        <v>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RowHeight="15" x14ac:dyDescent="0.25"/>
  <cols>
    <col min="1" max="1" width="25" customWidth="1"/>
    <col min="2" max="2" width="40" customWidth="1"/>
  </cols>
  <sheetData>
    <row r="1" spans="1:2" x14ac:dyDescent="0.25">
      <c r="A1" s="1" t="s">
        <v>62</v>
      </c>
      <c r="B1" s="1" t="s">
        <v>12</v>
      </c>
    </row>
    <row r="2" spans="1:2" x14ac:dyDescent="0.25">
      <c r="A2" t="s">
        <v>11</v>
      </c>
      <c r="B2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Voucher Report</vt:lpstr>
      <vt:lpstr>Data</vt:lpstr>
      <vt:lpstr>Aggregated Metadata</vt:lpstr>
      <vt:lpstr>TranslationData</vt:lpstr>
      <vt:lpstr>CaptionData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Sown</dc:creator>
  <cp:lastModifiedBy>trần đức hòa</cp:lastModifiedBy>
  <dcterms:created xsi:type="dcterms:W3CDTF">2026-04-01T03:48:56Z</dcterms:created>
  <dcterms:modified xsi:type="dcterms:W3CDTF">2026-05-28T07:24:06Z</dcterms:modified>
</cp:coreProperties>
</file>